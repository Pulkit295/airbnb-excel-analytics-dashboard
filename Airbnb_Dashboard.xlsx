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Phulkit\OneDrive\Desktop\"/>
    </mc:Choice>
  </mc:AlternateContent>
  <xr:revisionPtr revIDLastSave="0" documentId="8_{A13B1DEA-C6CA-4960-9740-89D5FF97DEF8}" xr6:coauthVersionLast="47" xr6:coauthVersionMax="47" xr10:uidLastSave="{00000000-0000-0000-0000-000000000000}"/>
  <bookViews>
    <workbookView xWindow="-110" yWindow="-110" windowWidth="19420" windowHeight="10300" firstSheet="3" activeTab="7" xr2:uid="{E358BA68-A2AE-49F6-93A5-60015615783C}"/>
  </bookViews>
  <sheets>
    <sheet name="Raw_Data" sheetId="1" r:id="rId1"/>
    <sheet name="Clean Data" sheetId="4" r:id="rId2"/>
    <sheet name="Data_Profiling" sheetId="3" r:id="rId3"/>
    <sheet name="EDA - Univariate" sheetId="5" r:id="rId4"/>
    <sheet name="EDA-Bivariate" sheetId="6" r:id="rId5"/>
    <sheet name="EDA-Multivariate" sheetId="7" r:id="rId6"/>
    <sheet name="Feature Engineering " sheetId="9" r:id="rId7"/>
    <sheet name="Dashboard" sheetId="11" r:id="rId8"/>
  </sheets>
  <definedNames>
    <definedName name="Slicer_neighbourhood">#N/A</definedName>
    <definedName name="Slicer_Price_Range">#N/A</definedName>
    <definedName name="Slicer_room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2" i="9" l="1"/>
  <c r="S4" i="9"/>
  <c r="S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S62" i="9"/>
  <c r="S63" i="9"/>
  <c r="S64" i="9"/>
  <c r="S65" i="9"/>
  <c r="S66" i="9"/>
  <c r="S67" i="9"/>
  <c r="S68" i="9"/>
  <c r="S69" i="9"/>
  <c r="S70" i="9"/>
  <c r="S71" i="9"/>
  <c r="S72" i="9"/>
  <c r="S73" i="9"/>
  <c r="S74" i="9"/>
  <c r="S75" i="9"/>
  <c r="S76" i="9"/>
  <c r="S77" i="9"/>
  <c r="S78" i="9"/>
  <c r="S79" i="9"/>
  <c r="S80" i="9"/>
  <c r="S81" i="9"/>
  <c r="S82" i="9"/>
  <c r="S83" i="9"/>
  <c r="S84" i="9"/>
  <c r="S85" i="9"/>
  <c r="S86" i="9"/>
  <c r="S87" i="9"/>
  <c r="S88" i="9"/>
  <c r="S89" i="9"/>
  <c r="S90" i="9"/>
  <c r="S91" i="9"/>
  <c r="S92" i="9"/>
  <c r="S93" i="9"/>
  <c r="S94" i="9"/>
  <c r="S95" i="9"/>
  <c r="S96" i="9"/>
  <c r="S97" i="9"/>
  <c r="S98" i="9"/>
  <c r="S99" i="9"/>
  <c r="S100" i="9"/>
  <c r="S101" i="9"/>
  <c r="S102" i="9"/>
  <c r="S103" i="9"/>
  <c r="S104" i="9"/>
  <c r="S105" i="9"/>
  <c r="S106" i="9"/>
  <c r="S107" i="9"/>
  <c r="S108" i="9"/>
  <c r="S109" i="9"/>
  <c r="S110" i="9"/>
  <c r="S111" i="9"/>
  <c r="S112" i="9"/>
  <c r="S113" i="9"/>
  <c r="S114" i="9"/>
  <c r="S115" i="9"/>
  <c r="S116" i="9"/>
  <c r="S117" i="9"/>
  <c r="S118" i="9"/>
  <c r="S119" i="9"/>
  <c r="S120" i="9"/>
  <c r="S121" i="9"/>
  <c r="S122" i="9"/>
  <c r="S123" i="9"/>
  <c r="S124" i="9"/>
  <c r="S125" i="9"/>
  <c r="S126" i="9"/>
  <c r="S127" i="9"/>
  <c r="S128" i="9"/>
  <c r="S129" i="9"/>
  <c r="S130" i="9"/>
  <c r="S131" i="9"/>
  <c r="S132" i="9"/>
  <c r="S133" i="9"/>
  <c r="S134" i="9"/>
  <c r="S135" i="9"/>
  <c r="S136" i="9"/>
  <c r="S137" i="9"/>
  <c r="S138" i="9"/>
  <c r="S139" i="9"/>
  <c r="S140" i="9"/>
  <c r="S141" i="9"/>
  <c r="S142" i="9"/>
  <c r="S143" i="9"/>
  <c r="S144" i="9"/>
  <c r="S145" i="9"/>
  <c r="S146" i="9"/>
  <c r="S147" i="9"/>
  <c r="S148" i="9"/>
  <c r="S149" i="9"/>
  <c r="S150" i="9"/>
  <c r="S151" i="9"/>
  <c r="S152" i="9"/>
  <c r="S153" i="9"/>
  <c r="S154" i="9"/>
  <c r="S155" i="9"/>
  <c r="S156" i="9"/>
  <c r="S157" i="9"/>
  <c r="S158" i="9"/>
  <c r="S159" i="9"/>
  <c r="S160" i="9"/>
  <c r="S161" i="9"/>
  <c r="S162" i="9"/>
  <c r="S163" i="9"/>
  <c r="S164" i="9"/>
  <c r="S165" i="9"/>
  <c r="S166" i="9"/>
  <c r="S167" i="9"/>
  <c r="S168" i="9"/>
  <c r="S169" i="9"/>
  <c r="S170" i="9"/>
  <c r="S171" i="9"/>
  <c r="S172" i="9"/>
  <c r="S173" i="9"/>
  <c r="S174" i="9"/>
  <c r="S175" i="9"/>
  <c r="S176" i="9"/>
  <c r="S177" i="9"/>
  <c r="S178" i="9"/>
  <c r="S179" i="9"/>
  <c r="S180" i="9"/>
  <c r="S181" i="9"/>
  <c r="S182" i="9"/>
  <c r="S183" i="9"/>
  <c r="S184" i="9"/>
  <c r="S185" i="9"/>
  <c r="S186" i="9"/>
  <c r="S187" i="9"/>
  <c r="S188" i="9"/>
  <c r="S189" i="9"/>
  <c r="S190" i="9"/>
  <c r="S191" i="9"/>
  <c r="S192" i="9"/>
  <c r="S193" i="9"/>
  <c r="S194" i="9"/>
  <c r="S195" i="9"/>
  <c r="S196" i="9"/>
  <c r="S197" i="9"/>
  <c r="S198" i="9"/>
  <c r="S199" i="9"/>
  <c r="S200" i="9"/>
  <c r="S201" i="9"/>
  <c r="S202" i="9"/>
  <c r="S203" i="9"/>
  <c r="S204" i="9"/>
  <c r="S205" i="9"/>
  <c r="S206" i="9"/>
  <c r="S207" i="9"/>
  <c r="S208" i="9"/>
  <c r="S209" i="9"/>
  <c r="S210" i="9"/>
  <c r="S211" i="9"/>
  <c r="S212" i="9"/>
  <c r="S213" i="9"/>
  <c r="S214" i="9"/>
  <c r="S215" i="9"/>
  <c r="S216" i="9"/>
  <c r="S217" i="9"/>
  <c r="S218" i="9"/>
  <c r="S219" i="9"/>
  <c r="S220" i="9"/>
  <c r="S221" i="9"/>
  <c r="S222" i="9"/>
  <c r="S223" i="9"/>
  <c r="S224" i="9"/>
  <c r="S225" i="9"/>
  <c r="S226" i="9"/>
  <c r="S227" i="9"/>
  <c r="S228" i="9"/>
  <c r="S229" i="9"/>
  <c r="S230" i="9"/>
  <c r="S231" i="9"/>
  <c r="S232" i="9"/>
  <c r="S233" i="9"/>
  <c r="S234" i="9"/>
  <c r="S235" i="9"/>
  <c r="S236" i="9"/>
  <c r="S237" i="9"/>
  <c r="S238" i="9"/>
  <c r="S239" i="9"/>
  <c r="S240" i="9"/>
  <c r="S241" i="9"/>
  <c r="S242" i="9"/>
  <c r="S243" i="9"/>
  <c r="S244" i="9"/>
  <c r="S245" i="9"/>
  <c r="S246" i="9"/>
  <c r="S247" i="9"/>
  <c r="S248" i="9"/>
  <c r="S249" i="9"/>
  <c r="S250" i="9"/>
  <c r="S251" i="9"/>
  <c r="S252" i="9"/>
  <c r="S253" i="9"/>
  <c r="S254" i="9"/>
  <c r="S255" i="9"/>
  <c r="S256" i="9"/>
  <c r="S257" i="9"/>
  <c r="S258" i="9"/>
  <c r="S259" i="9"/>
  <c r="S260" i="9"/>
  <c r="S261" i="9"/>
  <c r="S262" i="9"/>
  <c r="S263" i="9"/>
  <c r="S264" i="9"/>
  <c r="S265" i="9"/>
  <c r="S266" i="9"/>
  <c r="S267" i="9"/>
  <c r="S268" i="9"/>
  <c r="S269" i="9"/>
  <c r="S270" i="9"/>
  <c r="S271" i="9"/>
  <c r="S272" i="9"/>
  <c r="S273" i="9"/>
  <c r="S274" i="9"/>
  <c r="S275" i="9"/>
  <c r="S276" i="9"/>
  <c r="S277" i="9"/>
  <c r="S278" i="9"/>
  <c r="S279" i="9"/>
  <c r="S280" i="9"/>
  <c r="S281" i="9"/>
  <c r="S282" i="9"/>
  <c r="S283" i="9"/>
  <c r="S284" i="9"/>
  <c r="S285" i="9"/>
  <c r="S286" i="9"/>
  <c r="S287" i="9"/>
  <c r="S288" i="9"/>
  <c r="S289" i="9"/>
  <c r="S290" i="9"/>
  <c r="S291" i="9"/>
  <c r="S292" i="9"/>
  <c r="S293" i="9"/>
  <c r="S294" i="9"/>
  <c r="S295" i="9"/>
  <c r="S296" i="9"/>
  <c r="S297" i="9"/>
  <c r="S298" i="9"/>
  <c r="S299" i="9"/>
  <c r="S300" i="9"/>
  <c r="S301" i="9"/>
  <c r="S302" i="9"/>
  <c r="S303" i="9"/>
  <c r="S304" i="9"/>
  <c r="S305" i="9"/>
  <c r="S306" i="9"/>
  <c r="S307" i="9"/>
  <c r="S308" i="9"/>
  <c r="S309" i="9"/>
  <c r="S310" i="9"/>
  <c r="S311" i="9"/>
  <c r="S312" i="9"/>
  <c r="S313" i="9"/>
  <c r="S314" i="9"/>
  <c r="S315" i="9"/>
  <c r="S316" i="9"/>
  <c r="S317" i="9"/>
  <c r="S318" i="9"/>
  <c r="S319" i="9"/>
  <c r="S320" i="9"/>
  <c r="S321" i="9"/>
  <c r="S322" i="9"/>
  <c r="S323" i="9"/>
  <c r="S324" i="9"/>
  <c r="S325" i="9"/>
  <c r="S326" i="9"/>
  <c r="S327" i="9"/>
  <c r="S328" i="9"/>
  <c r="S329" i="9"/>
  <c r="S330" i="9"/>
  <c r="S331" i="9"/>
  <c r="S332" i="9"/>
  <c r="S333" i="9"/>
  <c r="S334" i="9"/>
  <c r="S335" i="9"/>
  <c r="S336" i="9"/>
  <c r="S337" i="9"/>
  <c r="S338" i="9"/>
  <c r="S339" i="9"/>
  <c r="S340" i="9"/>
  <c r="S341" i="9"/>
  <c r="S342" i="9"/>
  <c r="S343" i="9"/>
  <c r="S344" i="9"/>
  <c r="S345" i="9"/>
  <c r="S346" i="9"/>
  <c r="S347" i="9"/>
  <c r="S348" i="9"/>
  <c r="S349" i="9"/>
  <c r="S350" i="9"/>
  <c r="S351" i="9"/>
  <c r="S352" i="9"/>
  <c r="S353" i="9"/>
  <c r="S354" i="9"/>
  <c r="S355" i="9"/>
  <c r="S356" i="9"/>
  <c r="S357" i="9"/>
  <c r="S358" i="9"/>
  <c r="S359" i="9"/>
  <c r="S360" i="9"/>
  <c r="S361" i="9"/>
  <c r="S362" i="9"/>
  <c r="S363" i="9"/>
  <c r="S364" i="9"/>
  <c r="S365" i="9"/>
  <c r="S366" i="9"/>
  <c r="S367" i="9"/>
  <c r="S368" i="9"/>
  <c r="S369" i="9"/>
  <c r="S370" i="9"/>
  <c r="S371" i="9"/>
  <c r="S372" i="9"/>
  <c r="S373" i="9"/>
  <c r="S374" i="9"/>
  <c r="S375" i="9"/>
  <c r="S376" i="9"/>
  <c r="S377" i="9"/>
  <c r="S378" i="9"/>
  <c r="S379" i="9"/>
  <c r="S380" i="9"/>
  <c r="S381" i="9"/>
  <c r="S382" i="9"/>
  <c r="S383" i="9"/>
  <c r="S384" i="9"/>
  <c r="S385" i="9"/>
  <c r="S386" i="9"/>
  <c r="S387" i="9"/>
  <c r="S388" i="9"/>
  <c r="S389" i="9"/>
  <c r="S390" i="9"/>
  <c r="S391" i="9"/>
  <c r="S392" i="9"/>
  <c r="S393" i="9"/>
  <c r="S394" i="9"/>
  <c r="S395" i="9"/>
  <c r="S396" i="9"/>
  <c r="S397" i="9"/>
  <c r="S398" i="9"/>
  <c r="S399" i="9"/>
  <c r="S400" i="9"/>
  <c r="S401" i="9"/>
  <c r="S402" i="9"/>
  <c r="S403" i="9"/>
  <c r="S404" i="9"/>
  <c r="S405" i="9"/>
  <c r="S406" i="9"/>
  <c r="S407" i="9"/>
  <c r="S408" i="9"/>
  <c r="S409" i="9"/>
  <c r="S410" i="9"/>
  <c r="S411" i="9"/>
  <c r="S412" i="9"/>
  <c r="S413" i="9"/>
  <c r="S414" i="9"/>
  <c r="S415" i="9"/>
  <c r="S416" i="9"/>
  <c r="S417" i="9"/>
  <c r="S418" i="9"/>
  <c r="S419" i="9"/>
  <c r="S420" i="9"/>
  <c r="S421" i="9"/>
  <c r="S422" i="9"/>
  <c r="S423" i="9"/>
  <c r="S424" i="9"/>
  <c r="S425" i="9"/>
  <c r="S426" i="9"/>
  <c r="S427" i="9"/>
  <c r="S428" i="9"/>
  <c r="S429" i="9"/>
  <c r="S430" i="9"/>
  <c r="S431" i="9"/>
  <c r="S432" i="9"/>
  <c r="S433" i="9"/>
  <c r="S434" i="9"/>
  <c r="S435" i="9"/>
  <c r="S436" i="9"/>
  <c r="S437" i="9"/>
  <c r="S438" i="9"/>
  <c r="S439" i="9"/>
  <c r="S440" i="9"/>
  <c r="S441" i="9"/>
  <c r="S442" i="9"/>
  <c r="S443" i="9"/>
  <c r="S444" i="9"/>
  <c r="S445" i="9"/>
  <c r="S446" i="9"/>
  <c r="S447" i="9"/>
  <c r="S448" i="9"/>
  <c r="S449" i="9"/>
  <c r="S450" i="9"/>
  <c r="S451" i="9"/>
  <c r="S452" i="9"/>
  <c r="S453" i="9"/>
  <c r="S454" i="9"/>
  <c r="S455" i="9"/>
  <c r="S456" i="9"/>
  <c r="S457" i="9"/>
  <c r="S458" i="9"/>
  <c r="S459" i="9"/>
  <c r="R458" i="9"/>
  <c r="R457" i="9" s="1"/>
  <c r="R456" i="9" s="1"/>
  <c r="R455" i="9" s="1"/>
  <c r="R454" i="9" s="1"/>
  <c r="R453" i="9" s="1"/>
  <c r="R452" i="9" s="1"/>
  <c r="R451" i="9" s="1"/>
  <c r="R450" i="9" s="1"/>
  <c r="R449" i="9" s="1"/>
  <c r="R448" i="9" s="1"/>
  <c r="R447" i="9" s="1"/>
  <c r="R446" i="9" s="1"/>
  <c r="R445" i="9" s="1"/>
  <c r="R444" i="9" s="1"/>
  <c r="R443" i="9" s="1"/>
  <c r="R442" i="9" s="1"/>
  <c r="R441" i="9" s="1"/>
  <c r="R440" i="9" s="1"/>
  <c r="R439" i="9" s="1"/>
  <c r="R438" i="9" s="1"/>
  <c r="R437" i="9" s="1"/>
  <c r="R436" i="9" s="1"/>
  <c r="R435" i="9" s="1"/>
  <c r="R434" i="9" s="1"/>
  <c r="R433" i="9" s="1"/>
  <c r="R432" i="9" s="1"/>
  <c r="R431" i="9" s="1"/>
  <c r="R430" i="9" s="1"/>
  <c r="R429" i="9" s="1"/>
  <c r="R428" i="9" s="1"/>
  <c r="R427" i="9" s="1"/>
  <c r="R426" i="9" s="1"/>
  <c r="R425" i="9" s="1"/>
  <c r="R424" i="9" s="1"/>
  <c r="R423" i="9" s="1"/>
  <c r="R422" i="9" s="1"/>
  <c r="R421" i="9" s="1"/>
  <c r="R420" i="9" s="1"/>
  <c r="R419" i="9" s="1"/>
  <c r="R418" i="9" s="1"/>
  <c r="R417" i="9" s="1"/>
  <c r="R416" i="9" s="1"/>
  <c r="R415" i="9" s="1"/>
  <c r="R414" i="9" s="1"/>
  <c r="R413" i="9" s="1"/>
  <c r="R412" i="9" s="1"/>
  <c r="R411" i="9" s="1"/>
  <c r="R410" i="9" s="1"/>
  <c r="R409" i="9" s="1"/>
  <c r="R408" i="9" s="1"/>
  <c r="R407" i="9" s="1"/>
  <c r="R406" i="9" s="1"/>
  <c r="R405" i="9" s="1"/>
  <c r="R404" i="9" s="1"/>
  <c r="R403" i="9" s="1"/>
  <c r="R402" i="9" s="1"/>
  <c r="R401" i="9" s="1"/>
  <c r="R400" i="9" s="1"/>
  <c r="R399" i="9" s="1"/>
  <c r="R398" i="9" s="1"/>
  <c r="R397" i="9" s="1"/>
  <c r="R396" i="9" s="1"/>
  <c r="R395" i="9" s="1"/>
  <c r="R394" i="9" s="1"/>
  <c r="R393" i="9" s="1"/>
  <c r="R392" i="9" s="1"/>
  <c r="R391" i="9" s="1"/>
  <c r="R390" i="9" s="1"/>
  <c r="R389" i="9" s="1"/>
  <c r="R388" i="9" s="1"/>
  <c r="R387" i="9" s="1"/>
  <c r="R386" i="9" s="1"/>
  <c r="R385" i="9" s="1"/>
  <c r="R384" i="9" s="1"/>
  <c r="R383" i="9" s="1"/>
  <c r="R382" i="9" s="1"/>
  <c r="R381" i="9" s="1"/>
  <c r="R380" i="9" s="1"/>
  <c r="R379" i="9" s="1"/>
  <c r="R378" i="9" s="1"/>
  <c r="R377" i="9" s="1"/>
  <c r="R376" i="9" s="1"/>
  <c r="R375" i="9" s="1"/>
  <c r="R374" i="9" s="1"/>
  <c r="R373" i="9" s="1"/>
  <c r="R372" i="9" s="1"/>
  <c r="R371" i="9" s="1"/>
  <c r="R370" i="9" s="1"/>
  <c r="R369" i="9" s="1"/>
  <c r="R368" i="9" s="1"/>
  <c r="R367" i="9" s="1"/>
  <c r="R366" i="9" s="1"/>
  <c r="R365" i="9" s="1"/>
  <c r="R364" i="9" s="1"/>
  <c r="R363" i="9" s="1"/>
  <c r="R362" i="9" s="1"/>
  <c r="R361" i="9" s="1"/>
  <c r="R360" i="9" s="1"/>
  <c r="R359" i="9" s="1"/>
  <c r="R358" i="9" s="1"/>
  <c r="R357" i="9" s="1"/>
  <c r="R356" i="9" s="1"/>
  <c r="R355" i="9" s="1"/>
  <c r="R354" i="9" s="1"/>
  <c r="R353" i="9" s="1"/>
  <c r="R352" i="9" s="1"/>
  <c r="R351" i="9" s="1"/>
  <c r="R350" i="9" s="1"/>
  <c r="R349" i="9" s="1"/>
  <c r="R348" i="9" s="1"/>
  <c r="R347" i="9" s="1"/>
  <c r="R346" i="9" s="1"/>
  <c r="R345" i="9" s="1"/>
  <c r="R344" i="9" s="1"/>
  <c r="R343" i="9" s="1"/>
  <c r="R342" i="9" s="1"/>
  <c r="R341" i="9" s="1"/>
  <c r="R340" i="9" s="1"/>
  <c r="R339" i="9" s="1"/>
  <c r="R338" i="9" s="1"/>
  <c r="R337" i="9" s="1"/>
  <c r="R336" i="9" s="1"/>
  <c r="R335" i="9" s="1"/>
  <c r="R334" i="9" s="1"/>
  <c r="R333" i="9" s="1"/>
  <c r="R332" i="9" s="1"/>
  <c r="R331" i="9" s="1"/>
  <c r="R330" i="9" s="1"/>
  <c r="R329" i="9" s="1"/>
  <c r="R328" i="9" s="1"/>
  <c r="R327" i="9" s="1"/>
  <c r="R326" i="9" s="1"/>
  <c r="R325" i="9" s="1"/>
  <c r="R324" i="9" s="1"/>
  <c r="R323" i="9" s="1"/>
  <c r="R322" i="9" s="1"/>
  <c r="R321" i="9" s="1"/>
  <c r="R320" i="9" s="1"/>
  <c r="R319" i="9" s="1"/>
  <c r="R318" i="9" s="1"/>
  <c r="R317" i="9" s="1"/>
  <c r="R316" i="9" s="1"/>
  <c r="R315" i="9" s="1"/>
  <c r="R314" i="9" s="1"/>
  <c r="R313" i="9" s="1"/>
  <c r="R312" i="9" s="1"/>
  <c r="R311" i="9" s="1"/>
  <c r="R310" i="9" s="1"/>
  <c r="R309" i="9" s="1"/>
  <c r="R308" i="9" s="1"/>
  <c r="R307" i="9" s="1"/>
  <c r="R306" i="9" s="1"/>
  <c r="R305" i="9" s="1"/>
  <c r="R304" i="9" s="1"/>
  <c r="R303" i="9" s="1"/>
  <c r="R302" i="9" s="1"/>
  <c r="R301" i="9" s="1"/>
  <c r="R300" i="9" s="1"/>
  <c r="R299" i="9" s="1"/>
  <c r="R298" i="9" s="1"/>
  <c r="R297" i="9" s="1"/>
  <c r="R296" i="9" s="1"/>
  <c r="R295" i="9" s="1"/>
  <c r="R294" i="9" s="1"/>
  <c r="R293" i="9" s="1"/>
  <c r="R292" i="9" s="1"/>
  <c r="R291" i="9" s="1"/>
  <c r="R290" i="9" s="1"/>
  <c r="R289" i="9" s="1"/>
  <c r="R288" i="9" s="1"/>
  <c r="R287" i="9" s="1"/>
  <c r="R286" i="9" s="1"/>
  <c r="R285" i="9" s="1"/>
  <c r="R284" i="9" s="1"/>
  <c r="R283" i="9" s="1"/>
  <c r="R282" i="9" s="1"/>
  <c r="R281" i="9" s="1"/>
  <c r="R280" i="9" s="1"/>
  <c r="R279" i="9" s="1"/>
  <c r="R278" i="9" s="1"/>
  <c r="R277" i="9" s="1"/>
  <c r="R276" i="9" s="1"/>
  <c r="R275" i="9" s="1"/>
  <c r="R274" i="9" s="1"/>
  <c r="R273" i="9" s="1"/>
  <c r="R272" i="9" s="1"/>
  <c r="R271" i="9" s="1"/>
  <c r="R270" i="9" s="1"/>
  <c r="R269" i="9" s="1"/>
  <c r="R268" i="9" s="1"/>
  <c r="R267" i="9" s="1"/>
  <c r="R266" i="9" s="1"/>
  <c r="R265" i="9" s="1"/>
  <c r="R264" i="9" s="1"/>
  <c r="R263" i="9" s="1"/>
  <c r="R262" i="9" s="1"/>
  <c r="R261" i="9" s="1"/>
  <c r="R260" i="9" s="1"/>
  <c r="R259" i="9" s="1"/>
  <c r="R258" i="9" s="1"/>
  <c r="R257" i="9" s="1"/>
  <c r="R256" i="9" s="1"/>
  <c r="R255" i="9" s="1"/>
  <c r="R254" i="9" s="1"/>
  <c r="R253" i="9" s="1"/>
  <c r="R252" i="9" s="1"/>
  <c r="R251" i="9" s="1"/>
  <c r="R250" i="9" s="1"/>
  <c r="R249" i="9" s="1"/>
  <c r="R248" i="9" s="1"/>
  <c r="R247" i="9" s="1"/>
  <c r="R246" i="9" s="1"/>
  <c r="R245" i="9" s="1"/>
  <c r="R244" i="9" s="1"/>
  <c r="R243" i="9" s="1"/>
  <c r="R242" i="9" s="1"/>
  <c r="R241" i="9" s="1"/>
  <c r="R240" i="9" s="1"/>
  <c r="R239" i="9" s="1"/>
  <c r="R238" i="9" s="1"/>
  <c r="R237" i="9" s="1"/>
  <c r="R236" i="9" s="1"/>
  <c r="R235" i="9" s="1"/>
  <c r="R234" i="9" s="1"/>
  <c r="R233" i="9" s="1"/>
  <c r="R232" i="9" s="1"/>
  <c r="R231" i="9" s="1"/>
  <c r="R230" i="9" s="1"/>
  <c r="R229" i="9" s="1"/>
  <c r="R228" i="9" s="1"/>
  <c r="R227" i="9" s="1"/>
  <c r="R226" i="9" s="1"/>
  <c r="R225" i="9" s="1"/>
  <c r="R224" i="9" s="1"/>
  <c r="R223" i="9" s="1"/>
  <c r="R222" i="9" s="1"/>
  <c r="R221" i="9" s="1"/>
  <c r="R220" i="9" s="1"/>
  <c r="R219" i="9" s="1"/>
  <c r="R218" i="9" s="1"/>
  <c r="R217" i="9" s="1"/>
  <c r="R216" i="9" s="1"/>
  <c r="R215" i="9" s="1"/>
  <c r="R214" i="9" s="1"/>
  <c r="R213" i="9" s="1"/>
  <c r="R212" i="9" s="1"/>
  <c r="R211" i="9" s="1"/>
  <c r="R210" i="9" s="1"/>
  <c r="R209" i="9" s="1"/>
  <c r="R208" i="9" s="1"/>
  <c r="R207" i="9" s="1"/>
  <c r="R206" i="9" s="1"/>
  <c r="R205" i="9" s="1"/>
  <c r="R204" i="9" s="1"/>
  <c r="R203" i="9" s="1"/>
  <c r="R202" i="9" s="1"/>
  <c r="R201" i="9" s="1"/>
  <c r="R200" i="9" s="1"/>
  <c r="R199" i="9" s="1"/>
  <c r="R198" i="9" s="1"/>
  <c r="R197" i="9" s="1"/>
  <c r="R196" i="9" s="1"/>
  <c r="R195" i="9" s="1"/>
  <c r="R194" i="9" s="1"/>
  <c r="R193" i="9" s="1"/>
  <c r="R192" i="9" s="1"/>
  <c r="R191" i="9" s="1"/>
  <c r="R190" i="9" s="1"/>
  <c r="R189" i="9" s="1"/>
  <c r="R188" i="9" s="1"/>
  <c r="R187" i="9" s="1"/>
  <c r="R186" i="9" s="1"/>
  <c r="R185" i="9" s="1"/>
  <c r="R184" i="9" s="1"/>
  <c r="R183" i="9" s="1"/>
  <c r="R182" i="9" s="1"/>
  <c r="R181" i="9" s="1"/>
  <c r="R180" i="9" s="1"/>
  <c r="R179" i="9" s="1"/>
  <c r="R178" i="9" s="1"/>
  <c r="R177" i="9" s="1"/>
  <c r="R176" i="9" s="1"/>
  <c r="R175" i="9" s="1"/>
  <c r="R174" i="9" s="1"/>
  <c r="R173" i="9" s="1"/>
  <c r="R172" i="9" s="1"/>
  <c r="R171" i="9" s="1"/>
  <c r="R170" i="9" s="1"/>
  <c r="R169" i="9" s="1"/>
  <c r="R168" i="9" s="1"/>
  <c r="R167" i="9" s="1"/>
  <c r="R166" i="9" s="1"/>
  <c r="R165" i="9" s="1"/>
  <c r="R164" i="9" s="1"/>
  <c r="R163" i="9" s="1"/>
  <c r="R162" i="9" s="1"/>
  <c r="R161" i="9" s="1"/>
  <c r="R160" i="9" s="1"/>
  <c r="R159" i="9" s="1"/>
  <c r="R158" i="9" s="1"/>
  <c r="R157" i="9" s="1"/>
  <c r="R156" i="9" s="1"/>
  <c r="R155" i="9" s="1"/>
  <c r="R154" i="9" s="1"/>
  <c r="R153" i="9" s="1"/>
  <c r="R152" i="9" s="1"/>
  <c r="R151" i="9" s="1"/>
  <c r="R150" i="9" s="1"/>
  <c r="R149" i="9" s="1"/>
  <c r="R148" i="9" s="1"/>
  <c r="R147" i="9" s="1"/>
  <c r="R146" i="9" s="1"/>
  <c r="R145" i="9" s="1"/>
  <c r="R144" i="9" s="1"/>
  <c r="R143" i="9" s="1"/>
  <c r="R142" i="9" s="1"/>
  <c r="R141" i="9" s="1"/>
  <c r="R140" i="9" s="1"/>
  <c r="R139" i="9" s="1"/>
  <c r="R138" i="9" s="1"/>
  <c r="R137" i="9" s="1"/>
  <c r="R136" i="9" s="1"/>
  <c r="R135" i="9" s="1"/>
  <c r="R134" i="9" s="1"/>
  <c r="R133" i="9" s="1"/>
  <c r="R132" i="9" s="1"/>
  <c r="R131" i="9" s="1"/>
  <c r="R130" i="9" s="1"/>
  <c r="R129" i="9" s="1"/>
  <c r="R128" i="9" s="1"/>
  <c r="R127" i="9" s="1"/>
  <c r="R126" i="9" s="1"/>
  <c r="R125" i="9" s="1"/>
  <c r="R124" i="9" s="1"/>
  <c r="R123" i="9" s="1"/>
  <c r="R122" i="9" s="1"/>
  <c r="R121" i="9" s="1"/>
  <c r="R120" i="9" s="1"/>
  <c r="R119" i="9" s="1"/>
  <c r="R118" i="9" s="1"/>
  <c r="R117" i="9" s="1"/>
  <c r="R116" i="9" s="1"/>
  <c r="R115" i="9" s="1"/>
  <c r="R114" i="9" s="1"/>
  <c r="R113" i="9" s="1"/>
  <c r="R112" i="9" s="1"/>
  <c r="R111" i="9" s="1"/>
  <c r="R110" i="9" s="1"/>
  <c r="R109" i="9" s="1"/>
  <c r="R108" i="9" s="1"/>
  <c r="R107" i="9" s="1"/>
  <c r="R106" i="9" s="1"/>
  <c r="R105" i="9" s="1"/>
  <c r="R104" i="9" s="1"/>
  <c r="R103" i="9" s="1"/>
  <c r="R102" i="9" s="1"/>
  <c r="R101" i="9" s="1"/>
  <c r="R100" i="9" s="1"/>
  <c r="R99" i="9" s="1"/>
  <c r="R98" i="9" s="1"/>
  <c r="R97" i="9" s="1"/>
  <c r="R96" i="9" s="1"/>
  <c r="R95" i="9" s="1"/>
  <c r="R94" i="9" s="1"/>
  <c r="R93" i="9" s="1"/>
  <c r="R92" i="9" s="1"/>
  <c r="R91" i="9" s="1"/>
  <c r="R90" i="9" s="1"/>
  <c r="R89" i="9" s="1"/>
  <c r="R88" i="9" s="1"/>
  <c r="R87" i="9" s="1"/>
  <c r="R86" i="9" s="1"/>
  <c r="R85" i="9" s="1"/>
  <c r="R84" i="9" s="1"/>
  <c r="R83" i="9" s="1"/>
  <c r="R82" i="9" s="1"/>
  <c r="R81" i="9" s="1"/>
  <c r="R80" i="9" s="1"/>
  <c r="R79" i="9" s="1"/>
  <c r="R78" i="9" s="1"/>
  <c r="R77" i="9" s="1"/>
  <c r="R76" i="9" s="1"/>
  <c r="R75" i="9" s="1"/>
  <c r="R74" i="9" s="1"/>
  <c r="R73" i="9" s="1"/>
  <c r="R72" i="9" s="1"/>
  <c r="R71" i="9" s="1"/>
  <c r="R70" i="9" s="1"/>
  <c r="R69" i="9" s="1"/>
  <c r="R68" i="9" s="1"/>
  <c r="R67" i="9" s="1"/>
  <c r="R66" i="9" s="1"/>
  <c r="R65" i="9" s="1"/>
  <c r="R64" i="9" s="1"/>
  <c r="R63" i="9" s="1"/>
  <c r="R62" i="9" s="1"/>
  <c r="R61" i="9" s="1"/>
  <c r="R60" i="9" s="1"/>
  <c r="R59" i="9" s="1"/>
  <c r="R58" i="9" s="1"/>
  <c r="R57" i="9" s="1"/>
  <c r="R56" i="9" s="1"/>
  <c r="R55" i="9" s="1"/>
  <c r="R54" i="9" s="1"/>
  <c r="R53" i="9" s="1"/>
  <c r="R52" i="9" s="1"/>
  <c r="R51" i="9" s="1"/>
  <c r="R50" i="9" s="1"/>
  <c r="R49" i="9" s="1"/>
  <c r="R48" i="9" s="1"/>
  <c r="R47" i="9" s="1"/>
  <c r="R46" i="9" s="1"/>
  <c r="R45" i="9" s="1"/>
  <c r="R44" i="9" s="1"/>
  <c r="R43" i="9" s="1"/>
  <c r="R42" i="9" s="1"/>
  <c r="R41" i="9" s="1"/>
  <c r="R40" i="9" s="1"/>
  <c r="R39" i="9" s="1"/>
  <c r="R38" i="9" s="1"/>
  <c r="R37" i="9" s="1"/>
  <c r="R36" i="9" s="1"/>
  <c r="R35" i="9" s="1"/>
  <c r="R34" i="9" s="1"/>
  <c r="R33" i="9" s="1"/>
  <c r="R32" i="9" s="1"/>
  <c r="R31" i="9" s="1"/>
  <c r="R30" i="9" s="1"/>
  <c r="R29" i="9" s="1"/>
  <c r="R28" i="9" s="1"/>
  <c r="R27" i="9" s="1"/>
  <c r="R26" i="9" s="1"/>
  <c r="R25" i="9" s="1"/>
  <c r="R24" i="9" s="1"/>
  <c r="R23" i="9" s="1"/>
  <c r="R22" i="9" s="1"/>
  <c r="R21" i="9" s="1"/>
  <c r="R20" i="9" s="1"/>
  <c r="R19" i="9" s="1"/>
  <c r="R18" i="9" s="1"/>
  <c r="R17" i="9" s="1"/>
  <c r="R16" i="9" s="1"/>
  <c r="R15" i="9" s="1"/>
  <c r="R14" i="9" s="1"/>
  <c r="R13" i="9" s="1"/>
  <c r="R12" i="9" s="1"/>
  <c r="R11" i="9" s="1"/>
  <c r="R10" i="9" s="1"/>
  <c r="R9" i="9" s="1"/>
  <c r="R8" i="9" s="1"/>
  <c r="R7" i="9" s="1"/>
  <c r="R6" i="9" s="1"/>
  <c r="R5" i="9" s="1"/>
  <c r="R4" i="9" s="1"/>
  <c r="R3" i="9" s="1"/>
  <c r="R2" i="9" s="1"/>
  <c r="R459" i="9"/>
  <c r="Q2" i="9"/>
  <c r="Q3" i="9"/>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151"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Q274" i="9"/>
  <c r="Q275" i="9"/>
  <c r="Q276" i="9"/>
  <c r="Q277" i="9"/>
  <c r="Q278" i="9"/>
  <c r="Q279" i="9"/>
  <c r="Q280" i="9"/>
  <c r="Q281" i="9"/>
  <c r="Q282" i="9"/>
  <c r="Q283" i="9"/>
  <c r="Q284" i="9"/>
  <c r="Q285" i="9"/>
  <c r="Q286" i="9"/>
  <c r="Q287" i="9"/>
  <c r="Q288"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63" i="9"/>
  <c r="Q364" i="9"/>
  <c r="Q365" i="9"/>
  <c r="Q366" i="9"/>
  <c r="Q367" i="9"/>
  <c r="Q368" i="9"/>
  <c r="Q369" i="9"/>
  <c r="Q370"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Q413" i="9"/>
  <c r="Q414" i="9"/>
  <c r="Q415" i="9"/>
  <c r="Q416" i="9"/>
  <c r="Q417" i="9"/>
  <c r="Q418" i="9"/>
  <c r="Q419" i="9"/>
  <c r="Q420" i="9"/>
  <c r="Q421" i="9"/>
  <c r="Q422" i="9"/>
  <c r="Q423" i="9"/>
  <c r="Q424" i="9"/>
  <c r="Q425" i="9"/>
  <c r="Q426" i="9"/>
  <c r="Q427" i="9"/>
  <c r="Q428" i="9"/>
  <c r="Q429" i="9"/>
  <c r="Q430" i="9"/>
  <c r="Q431" i="9"/>
  <c r="Q432" i="9"/>
  <c r="Q433" i="9"/>
  <c r="Q434" i="9"/>
  <c r="Q435" i="9"/>
  <c r="Q436" i="9"/>
  <c r="Q437" i="9"/>
  <c r="Q438" i="9"/>
  <c r="Q439" i="9"/>
  <c r="Q440" i="9"/>
  <c r="Q441" i="9"/>
  <c r="Q442" i="9"/>
  <c r="Q443" i="9"/>
  <c r="Q444" i="9"/>
  <c r="Q445" i="9"/>
  <c r="Q446" i="9"/>
  <c r="Q447" i="9"/>
  <c r="Q448" i="9"/>
  <c r="Q449" i="9"/>
  <c r="Q450" i="9"/>
  <c r="Q451" i="9"/>
  <c r="Q452" i="9"/>
  <c r="Q453" i="9"/>
  <c r="Q454" i="9"/>
  <c r="Q455" i="9"/>
  <c r="Q456" i="9"/>
  <c r="Q457" i="9"/>
  <c r="Q458" i="9"/>
  <c r="Q459" i="9"/>
  <c r="P6" i="9"/>
  <c r="P2" i="9"/>
  <c r="P3" i="9"/>
  <c r="P4" i="9"/>
  <c r="P5"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O459" i="9"/>
  <c r="O458" i="9"/>
  <c r="O457" i="9"/>
  <c r="O456" i="9"/>
  <c r="O455" i="9"/>
  <c r="O454" i="9"/>
  <c r="O453" i="9"/>
  <c r="O452" i="9"/>
  <c r="O451" i="9"/>
  <c r="O450" i="9"/>
  <c r="O449" i="9"/>
  <c r="O448" i="9"/>
  <c r="O447" i="9"/>
  <c r="O446" i="9"/>
  <c r="O445" i="9"/>
  <c r="O444" i="9"/>
  <c r="O443" i="9"/>
  <c r="O442" i="9"/>
  <c r="O441" i="9"/>
  <c r="O440" i="9"/>
  <c r="O439" i="9"/>
  <c r="O438" i="9"/>
  <c r="O437" i="9"/>
  <c r="O436" i="9"/>
  <c r="O435" i="9"/>
  <c r="O434" i="9"/>
  <c r="O433" i="9"/>
  <c r="O432" i="9"/>
  <c r="O431" i="9"/>
  <c r="O430" i="9"/>
  <c r="O429" i="9"/>
  <c r="O428" i="9"/>
  <c r="O427" i="9"/>
  <c r="O426" i="9"/>
  <c r="O425" i="9"/>
  <c r="O424" i="9"/>
  <c r="O423" i="9"/>
  <c r="O422" i="9"/>
  <c r="O421" i="9"/>
  <c r="O420" i="9"/>
  <c r="O419" i="9"/>
  <c r="O418" i="9"/>
  <c r="O417" i="9"/>
  <c r="O416" i="9"/>
  <c r="O415" i="9"/>
  <c r="O414" i="9"/>
  <c r="O413" i="9"/>
  <c r="O412" i="9"/>
  <c r="O411" i="9"/>
  <c r="O410" i="9"/>
  <c r="O409" i="9"/>
  <c r="O408" i="9"/>
  <c r="O407" i="9"/>
  <c r="O406" i="9"/>
  <c r="O405" i="9"/>
  <c r="O404" i="9"/>
  <c r="O403" i="9"/>
  <c r="O402" i="9"/>
  <c r="O401" i="9"/>
  <c r="O400" i="9"/>
  <c r="O399" i="9"/>
  <c r="O398" i="9"/>
  <c r="O397" i="9"/>
  <c r="O396" i="9"/>
  <c r="O395" i="9"/>
  <c r="O394" i="9"/>
  <c r="O393" i="9"/>
  <c r="O392" i="9"/>
  <c r="O391" i="9"/>
  <c r="O390" i="9"/>
  <c r="O389" i="9"/>
  <c r="O388" i="9"/>
  <c r="O387" i="9"/>
  <c r="O386" i="9"/>
  <c r="O385" i="9"/>
  <c r="O384" i="9"/>
  <c r="O383" i="9"/>
  <c r="O382" i="9"/>
  <c r="O381" i="9"/>
  <c r="O380" i="9"/>
  <c r="O379" i="9"/>
  <c r="O378" i="9"/>
  <c r="O377" i="9"/>
  <c r="O376" i="9"/>
  <c r="O375" i="9"/>
  <c r="O374" i="9"/>
  <c r="O373" i="9"/>
  <c r="O372" i="9"/>
  <c r="O371" i="9"/>
  <c r="O370" i="9"/>
  <c r="O369" i="9"/>
  <c r="O368" i="9"/>
  <c r="O367" i="9"/>
  <c r="O366" i="9"/>
  <c r="O365" i="9"/>
  <c r="O364" i="9"/>
  <c r="O363" i="9"/>
  <c r="O362" i="9"/>
  <c r="O361" i="9"/>
  <c r="O360" i="9"/>
  <c r="O359" i="9"/>
  <c r="O358" i="9"/>
  <c r="O357" i="9"/>
  <c r="O356" i="9"/>
  <c r="O355" i="9"/>
  <c r="O354" i="9"/>
  <c r="O353" i="9"/>
  <c r="O352" i="9"/>
  <c r="O351" i="9"/>
  <c r="O350" i="9"/>
  <c r="O349" i="9"/>
  <c r="O348" i="9"/>
  <c r="O347" i="9"/>
  <c r="O346" i="9"/>
  <c r="O345" i="9"/>
  <c r="O344" i="9"/>
  <c r="O343" i="9"/>
  <c r="O342" i="9"/>
  <c r="O341" i="9"/>
  <c r="O340" i="9"/>
  <c r="O339" i="9"/>
  <c r="O338" i="9"/>
  <c r="O337" i="9"/>
  <c r="O336" i="9"/>
  <c r="O335" i="9"/>
  <c r="O334" i="9"/>
  <c r="O333" i="9"/>
  <c r="O332" i="9"/>
  <c r="O331" i="9"/>
  <c r="O330" i="9"/>
  <c r="O329" i="9"/>
  <c r="O328" i="9"/>
  <c r="O327" i="9"/>
  <c r="O326" i="9"/>
  <c r="O325" i="9"/>
  <c r="O324" i="9"/>
  <c r="O323" i="9"/>
  <c r="O322" i="9"/>
  <c r="O321" i="9"/>
  <c r="O320" i="9"/>
  <c r="O319" i="9"/>
  <c r="O318" i="9"/>
  <c r="O317" i="9"/>
  <c r="O316" i="9"/>
  <c r="O315" i="9"/>
  <c r="O314" i="9"/>
  <c r="O313" i="9"/>
  <c r="O312" i="9"/>
  <c r="O311" i="9"/>
  <c r="O310" i="9"/>
  <c r="O309" i="9"/>
  <c r="O308" i="9"/>
  <c r="O307" i="9"/>
  <c r="O306" i="9"/>
  <c r="O305" i="9"/>
  <c r="O304" i="9"/>
  <c r="O303" i="9"/>
  <c r="O302" i="9"/>
  <c r="O301" i="9"/>
  <c r="O300" i="9"/>
  <c r="O299" i="9"/>
  <c r="O298" i="9"/>
  <c r="O297" i="9"/>
  <c r="O296" i="9"/>
  <c r="O295" i="9"/>
  <c r="O294" i="9"/>
  <c r="O293" i="9"/>
  <c r="O292" i="9"/>
  <c r="O291" i="9"/>
  <c r="O290" i="9"/>
  <c r="O289" i="9"/>
  <c r="O288" i="9"/>
  <c r="O287" i="9"/>
  <c r="O286" i="9"/>
  <c r="O285" i="9"/>
  <c r="O284" i="9"/>
  <c r="O283" i="9"/>
  <c r="O282" i="9"/>
  <c r="O281" i="9"/>
  <c r="O280" i="9"/>
  <c r="O279" i="9"/>
  <c r="O278" i="9"/>
  <c r="O277" i="9"/>
  <c r="O276" i="9"/>
  <c r="O275" i="9"/>
  <c r="O274" i="9"/>
  <c r="O273" i="9"/>
  <c r="O272" i="9"/>
  <c r="O271" i="9"/>
  <c r="O270" i="9"/>
  <c r="O269" i="9"/>
  <c r="O268" i="9"/>
  <c r="O267" i="9"/>
  <c r="O266" i="9"/>
  <c r="O265" i="9"/>
  <c r="O264" i="9"/>
  <c r="O263" i="9"/>
  <c r="O262" i="9"/>
  <c r="O261" i="9"/>
  <c r="O260" i="9"/>
  <c r="O259" i="9"/>
  <c r="O258" i="9"/>
  <c r="O257" i="9"/>
  <c r="O256" i="9"/>
  <c r="O255" i="9"/>
  <c r="O254" i="9"/>
  <c r="O253" i="9"/>
  <c r="O252" i="9"/>
  <c r="O251" i="9"/>
  <c r="O250" i="9"/>
  <c r="O249" i="9"/>
  <c r="O248" i="9"/>
  <c r="O247" i="9"/>
  <c r="O246" i="9"/>
  <c r="O245" i="9"/>
  <c r="O244" i="9"/>
  <c r="O243" i="9"/>
  <c r="O242" i="9"/>
  <c r="O241" i="9"/>
  <c r="O240" i="9"/>
  <c r="O239" i="9"/>
  <c r="O238" i="9"/>
  <c r="O237" i="9"/>
  <c r="O236" i="9"/>
  <c r="O235" i="9"/>
  <c r="O234" i="9"/>
  <c r="O233" i="9"/>
  <c r="O232" i="9"/>
  <c r="O231" i="9"/>
  <c r="O230" i="9"/>
  <c r="O229" i="9"/>
  <c r="O228" i="9"/>
  <c r="O227" i="9"/>
  <c r="O226" i="9"/>
  <c r="O225" i="9"/>
  <c r="O224" i="9"/>
  <c r="O223" i="9"/>
  <c r="O222" i="9"/>
  <c r="O221" i="9"/>
  <c r="O220" i="9"/>
  <c r="O219" i="9"/>
  <c r="O218" i="9"/>
  <c r="O217" i="9"/>
  <c r="O216" i="9"/>
  <c r="O215" i="9"/>
  <c r="O214" i="9"/>
  <c r="O213" i="9"/>
  <c r="O212" i="9"/>
  <c r="O211" i="9"/>
  <c r="O210" i="9"/>
  <c r="O209" i="9"/>
  <c r="O208" i="9"/>
  <c r="O207" i="9"/>
  <c r="O206" i="9"/>
  <c r="O205" i="9"/>
  <c r="O204" i="9"/>
  <c r="O203" i="9"/>
  <c r="O202" i="9"/>
  <c r="O201" i="9"/>
  <c r="O200" i="9"/>
  <c r="O199" i="9"/>
  <c r="O198" i="9"/>
  <c r="O197" i="9"/>
  <c r="O196" i="9"/>
  <c r="O195" i="9"/>
  <c r="O194" i="9"/>
  <c r="O193" i="9"/>
  <c r="O192" i="9"/>
  <c r="O191" i="9"/>
  <c r="O190" i="9"/>
  <c r="O189" i="9"/>
  <c r="O188" i="9"/>
  <c r="O187" i="9"/>
  <c r="O186" i="9"/>
  <c r="O185" i="9"/>
  <c r="O184" i="9"/>
  <c r="O183" i="9"/>
  <c r="O182" i="9"/>
  <c r="O181" i="9"/>
  <c r="O180" i="9"/>
  <c r="O179" i="9"/>
  <c r="O178" i="9"/>
  <c r="O177" i="9"/>
  <c r="O176" i="9"/>
  <c r="O175" i="9"/>
  <c r="O174" i="9"/>
  <c r="O173" i="9"/>
  <c r="O172" i="9"/>
  <c r="O171" i="9"/>
  <c r="O170" i="9"/>
  <c r="O169" i="9"/>
  <c r="O168" i="9"/>
  <c r="O167" i="9"/>
  <c r="O166" i="9"/>
  <c r="O165" i="9"/>
  <c r="O164" i="9"/>
  <c r="O163" i="9"/>
  <c r="O162" i="9"/>
  <c r="O161" i="9"/>
  <c r="O160" i="9"/>
  <c r="O159" i="9"/>
  <c r="O158" i="9"/>
  <c r="O157" i="9"/>
  <c r="O156" i="9"/>
  <c r="O155" i="9"/>
  <c r="O154" i="9"/>
  <c r="O153" i="9"/>
  <c r="O152" i="9"/>
  <c r="O151" i="9"/>
  <c r="O150" i="9"/>
  <c r="O149" i="9"/>
  <c r="O148" i="9"/>
  <c r="O147" i="9"/>
  <c r="O146" i="9"/>
  <c r="O145" i="9"/>
  <c r="O144" i="9"/>
  <c r="O143" i="9"/>
  <c r="O142" i="9"/>
  <c r="O141" i="9"/>
  <c r="O140" i="9"/>
  <c r="O139" i="9"/>
  <c r="O138" i="9"/>
  <c r="O137" i="9"/>
  <c r="O136" i="9"/>
  <c r="O135" i="9"/>
  <c r="O134" i="9"/>
  <c r="O133" i="9"/>
  <c r="O132" i="9"/>
  <c r="O131" i="9"/>
  <c r="O130" i="9"/>
  <c r="O129" i="9"/>
  <c r="O128" i="9"/>
  <c r="O127" i="9"/>
  <c r="O126" i="9"/>
  <c r="O125" i="9"/>
  <c r="O124" i="9"/>
  <c r="O123" i="9"/>
  <c r="O122" i="9"/>
  <c r="O121" i="9"/>
  <c r="O120" i="9"/>
  <c r="O119" i="9"/>
  <c r="O118" i="9"/>
  <c r="O117" i="9"/>
  <c r="O116" i="9"/>
  <c r="O115" i="9"/>
  <c r="O114" i="9"/>
  <c r="O113" i="9"/>
  <c r="O112" i="9"/>
  <c r="O111" i="9"/>
  <c r="O110" i="9"/>
  <c r="O109" i="9"/>
  <c r="O108" i="9"/>
  <c r="O107" i="9"/>
  <c r="O106" i="9"/>
  <c r="O105" i="9"/>
  <c r="O104" i="9"/>
  <c r="O103" i="9"/>
  <c r="O102" i="9"/>
  <c r="O101" i="9"/>
  <c r="O100" i="9"/>
  <c r="O99" i="9"/>
  <c r="O98" i="9"/>
  <c r="O97" i="9"/>
  <c r="O96" i="9"/>
  <c r="O95" i="9"/>
  <c r="O94" i="9"/>
  <c r="O93" i="9"/>
  <c r="O92" i="9"/>
  <c r="O91" i="9"/>
  <c r="O90" i="9"/>
  <c r="O89" i="9"/>
  <c r="O88" i="9"/>
  <c r="O87" i="9"/>
  <c r="O86" i="9"/>
  <c r="O85" i="9"/>
  <c r="O84" i="9"/>
  <c r="O83" i="9"/>
  <c r="O82" i="9"/>
  <c r="O81" i="9"/>
  <c r="O80" i="9"/>
  <c r="O79" i="9"/>
  <c r="O78" i="9"/>
  <c r="O77" i="9"/>
  <c r="O76" i="9"/>
  <c r="O75" i="9"/>
  <c r="O74" i="9"/>
  <c r="O73" i="9"/>
  <c r="O72" i="9"/>
  <c r="O71" i="9"/>
  <c r="O70" i="9"/>
  <c r="O69" i="9"/>
  <c r="O68" i="9"/>
  <c r="O67" i="9"/>
  <c r="O66" i="9"/>
  <c r="O65" i="9"/>
  <c r="O64" i="9"/>
  <c r="O63" i="9"/>
  <c r="O62" i="9"/>
  <c r="O61" i="9"/>
  <c r="O60" i="9"/>
  <c r="O59" i="9"/>
  <c r="O58" i="9"/>
  <c r="O57" i="9"/>
  <c r="O56" i="9"/>
  <c r="O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O6" i="9"/>
  <c r="O5" i="9"/>
  <c r="O4" i="9"/>
  <c r="O3" i="9"/>
  <c r="O2" i="9"/>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B49" i="3"/>
  <c r="B48" i="3"/>
  <c r="B47" i="3"/>
  <c r="B46" i="3"/>
  <c r="B34" i="3"/>
  <c r="B35" i="3"/>
  <c r="B38" i="3"/>
  <c r="B37" i="3"/>
  <c r="B36" i="3"/>
  <c r="B33" i="3"/>
  <c r="B32" i="3"/>
  <c r="B31" i="3"/>
  <c r="B5" i="3"/>
  <c r="B4" i="3"/>
</calcChain>
</file>

<file path=xl/sharedStrings.xml><?xml version="1.0" encoding="utf-8"?>
<sst xmlns="http://schemas.openxmlformats.org/spreadsheetml/2006/main" count="5829" uniqueCount="759">
  <si>
    <t>id</t>
  </si>
  <si>
    <t>name</t>
  </si>
  <si>
    <t>host_id</t>
  </si>
  <si>
    <t>host_profile_id</t>
  </si>
  <si>
    <t>host_name</t>
  </si>
  <si>
    <t>neighbourhood_group</t>
  </si>
  <si>
    <t>neighbourhood</t>
  </si>
  <si>
    <t>latitude</t>
  </si>
  <si>
    <t>longitude</t>
  </si>
  <si>
    <t>room_type</t>
  </si>
  <si>
    <t>price</t>
  </si>
  <si>
    <t>minimum_nights</t>
  </si>
  <si>
    <t>number_of_reviews</t>
  </si>
  <si>
    <t>last_review</t>
  </si>
  <si>
    <t>reviews_per_month</t>
  </si>
  <si>
    <t>calculated_host_listings_count</t>
  </si>
  <si>
    <t>availability_365</t>
  </si>
  <si>
    <t>number_of_reviews_ltm</t>
  </si>
  <si>
    <t>license</t>
  </si>
  <si>
    <t>Luxury 2 bedroom apartment</t>
  </si>
  <si>
    <t>Kenneth</t>
  </si>
  <si>
    <t>THIRD WARD</t>
  </si>
  <si>
    <t>Entire home/apt</t>
  </si>
  <si>
    <t>Restored Precinct in Center Sq. w/Parking</t>
  </si>
  <si>
    <t>Ming</t>
  </si>
  <si>
    <t>SIXTH WARD</t>
  </si>
  <si>
    <t>Large studio apt  by Capital Center &amp; ESP@</t>
  </si>
  <si>
    <t>Gregg</t>
  </si>
  <si>
    <t>SECOND WARD</t>
  </si>
  <si>
    <t>Center Sq. Loft in Converted Precinct w/ Parking</t>
  </si>
  <si>
    <t>Spacious suite with full bath by Capital  Center</t>
  </si>
  <si>
    <t>Private room</t>
  </si>
  <si>
    <t>Alb hospital area studio bath wifi. (Red)</t>
  </si>
  <si>
    <t>Elizabeth</t>
  </si>
  <si>
    <t>FOURTEENTH WARD</t>
  </si>
  <si>
    <t>/Fire Place Bungalow\ 1917 SUNY Eagle 6Beds 2Baths</t>
  </si>
  <si>
    <t>Peter</t>
  </si>
  <si>
    <t>FIFTEENTH WARD</t>
  </si>
  <si>
    <t>$55twin($30 foreign student)FreeBF Noa/c no smoke</t>
  </si>
  <si>
    <t>Abdullah</t>
  </si>
  <si>
    <t>ELEVENTH WARD</t>
  </si>
  <si>
    <t>Private Room in the Hearth of the Albany</t>
  </si>
  <si>
    <t>Musab</t>
  </si>
  <si>
    <t>Pristine Cape Cod on the Creek - 4 Large Bedrooms!</t>
  </si>
  <si>
    <t>Akhilesh</t>
  </si>
  <si>
    <t>Unique Modern Room, Perfect Location Albany</t>
  </si>
  <si>
    <t>Chad</t>
  </si>
  <si>
    <t>TENTH WARD</t>
  </si>
  <si>
    <t>/Miller Colonial\ 1946 SUNY Eagle Hill 5Bed 2Baths</t>
  </si>
  <si>
    <t>Albany Medical/Downtown Albany/Colleges/ ROOM H</t>
  </si>
  <si>
    <t>Share</t>
  </si>
  <si>
    <t>NINTH WARD</t>
  </si>
  <si>
    <t>On a little park in Albany pine hills. (Blue)</t>
  </si>
  <si>
    <t>$53($25 foreign student)Twin, noa/cno
Smoke freeBF</t>
  </si>
  <si>
    <t>FIFTH WARD</t>
  </si>
  <si>
    <t>Cozy Modern Room Perfect Location Albany</t>
  </si>
  <si>
    <t>/Sauna Ranch 1961\ SUNY Eagle Hill 4Beds 1Bath</t>
  </si>
  <si>
    <t>Charming 1 Bedroom in a Historic Residential Home</t>
  </si>
  <si>
    <t>Ed</t>
  </si>
  <si>
    <t>5BedroomHome InAlbany 9YRSuperHost</t>
  </si>
  <si>
    <t>Michael And Flerida</t>
  </si>
  <si>
    <t>/Red Warhol Ranch\ 1959 SUNY Eagle Hill 4beds1Bath</t>
  </si>
  <si>
    <t>Garden Apartment, on the Park, close to Capital.</t>
  </si>
  <si>
    <t>James</t>
  </si>
  <si>
    <t>SEVENTH WARD</t>
  </si>
  <si>
    <t>The Metropolitan,3rd floor suite</t>
  </si>
  <si>
    <t>Bela</t>
  </si>
  <si>
    <t>Cozy bedroom with (2) walk-in closets</t>
  </si>
  <si>
    <t>THIRTEENTH WARD</t>
  </si>
  <si>
    <t>The Blair Suite</t>
  </si>
  <si>
    <t>/zBig Blue Ranch\ 1962 SUNY Eagle Hill 4Beds 2Bath</t>
  </si>
  <si>
    <t>NEW LISTING! Modern, completely updated, LOCATION!</t>
  </si>
  <si>
    <t>Allen</t>
  </si>
  <si>
    <t>Cozy downstairs bedroom in quiet neighborhood!</t>
  </si>
  <si>
    <t>Cozy upstairs room with (1) walk-in closet</t>
  </si>
  <si>
    <t>Elegant Guest Suite in our beautiful Victorian!</t>
  </si>
  <si>
    <t>The Western Suite</t>
  </si>
  <si>
    <t>Quiet and Pretty in the Heart of Center Square</t>
  </si>
  <si>
    <t>Janet</t>
  </si>
  <si>
    <t>Garden Apartment in Ctr. Square: Monthly Discounts</t>
  </si>
  <si>
    <t>Farah</t>
  </si>
  <si>
    <t>The Rock &amp; Roll Suite</t>
  </si>
  <si>
    <t>Albany Cozy home with fireplaces and Sunroom</t>
  </si>
  <si>
    <t>Rosanne</t>
  </si>
  <si>
    <t>EIGHTH WARD</t>
  </si>
  <si>
    <t>Private Room in Historic Residential Home</t>
  </si>
  <si>
    <t>Historic Loft Suite @ Downtown Albany</t>
  </si>
  <si>
    <t>Earl Vanze</t>
  </si>
  <si>
    <t>Cozy Garden 2-Bed Full Amenities @ Downtown Albany</t>
  </si>
  <si>
    <t>Spacious
private suite and private bath</t>
  </si>
  <si>
    <t>Rachel</t>
  </si>
  <si>
    <t>FOURTH WARD</t>
  </si>
  <si>
    <t>Funky Urban Gem: Prime Central Location - Parking!</t>
  </si>
  <si>
    <t>Seashore Suite At The Inn on South Lake</t>
  </si>
  <si>
    <t>Cosy, comfy and quiet for one</t>
  </si>
  <si>
    <t>Diana</t>
  </si>
  <si>
    <t>Moroccan Sands</t>
  </si>
  <si>
    <t>Sherrell</t>
  </si>
  <si>
    <t>Historic Full Amenities 2BR Apt @Downtown Albany</t>
  </si>
  <si>
    <t>Historic, Spacious &amp; Fun 2BR Apt @ Downtown Albany</t>
  </si>
  <si>
    <t>Cozy Bedroom in Historic Residential Home</t>
  </si>
  <si>
    <t>Perfect Downtown Base | 1BR + Free Parking</t>
  </si>
  <si>
    <t>Sophisticated Retreat: 2BR in heart of Albany</t>
  </si>
  <si>
    <t>Comfy and quiet</t>
  </si>
  <si>
    <t>Center Sq 2BR Brownstone | Walk Capitol | Parking</t>
  </si>
  <si>
    <t>Flerida</t>
  </si>
  <si>
    <t>Spacious Designer 1-Bed Near Albany Med</t>
  </si>
  <si>
    <t>Stunning Bungalo-style Loft in Downtown Albany</t>
  </si>
  <si>
    <t>Matthew</t>
  </si>
  <si>
    <t>Renovated, private parking,location, washer dryer!</t>
  </si>
  <si>
    <t>Comfortable! One Bedroom A/C Apartment Queen Bed</t>
  </si>
  <si>
    <t>Lloyd</t>
  </si>
  <si>
    <t>Center Square Sanctuary: Private 2-Bedroom Gem</t>
  </si>
  <si>
    <t>Homey</t>
  </si>
  <si>
    <t>Arkady</t>
  </si>
  <si>
    <t>Charming dog friendly home with private yard!</t>
  </si>
  <si>
    <t>Anthony</t>
  </si>
  <si>
    <t>FIRST WARD</t>
  </si>
  <si>
    <t>Cozy Historic 2BD Apt @ Downtown Albany</t>
  </si>
  <si>
    <t>Angela</t>
  </si>
  <si>
    <t>Center Sq Brownstone - Walk To Capitol - Parking</t>
  </si>
  <si>
    <t>*The Blue House* Incredible 3 Bedroom Apartment</t>
  </si>
  <si>
    <t>Scott</t>
  </si>
  <si>
    <t>* Quaint home located in residential neighborhood*</t>
  </si>
  <si>
    <t>Historic Queen Studio Across from Washington Park!</t>
  </si>
  <si>
    <t>Parkside Queen 1 Bedroom (1800's) Brownstone!</t>
  </si>
  <si>
    <t>Spacious upscale luxury apartment with huge yard</t>
  </si>
  <si>
    <t>Michael</t>
  </si>
  <si>
    <t>Private Apt Queen 1 Bed Sanctuary with many Extras</t>
  </si>
  <si>
    <t>Elsa</t>
  </si>
  <si>
    <t>Secluded Studio Loft 3fl@ Historic Downtown Albany</t>
  </si>
  <si>
    <t>UNIQUE Gem in HEART of Albany â˜… Spiral Staircase</t>
  </si>
  <si>
    <t>Linda</t>
  </si>
  <si>
    <t>WOW â˜… Bright Apt â˜… PRIME downtown Walk Everywhere</t>
  </si>
  <si>
    <t>â˜… 2 BEDROOM / 1 BATH TRENDY Apt â˜… Downtown Albany</t>
  </si>
  <si>
    <t>Our Antique Bungalow</t>
  </si>
  <si>
    <t>Dan</t>
  </si>
  <si>
    <t>Newly renovated,Amazing Location,private parking</t>
  </si>
  <si>
    <t>Bright large 1 bdr loft in Center Sq -free parking</t>
  </si>
  <si>
    <t>Quiet cozy apartment, private laundry, great spot!</t>
  </si>
  <si>
    <t>The Loft Suite @ The Historic Jesse Buel House</t>
  </si>
  <si>
    <t>Thomas</t>
  </si>
  <si>
    <t>Center Sq 2BR Brownstone | Parking | Walk Capitol</t>
  </si>
  <si>
    <t>Downtown Albany 1 Bed + Workstation @ Maiden Lane</t>
  </si>
  <si>
    <t>Dillon</t>
  </si>
  <si>
    <t>*The Rustic Home* 3 Bedroom Second Floor Apartment</t>
  </si>
  <si>
    <t>Downtown Albany 2 Bedroom + Workstation @ The Mark</t>
  </si>
  <si>
    <t>The Down Under Suite</t>
  </si>
  <si>
    <t>/ New Giant Victorian \ 7beds 6 baths + 2x 85" TVs</t>
  </si>
  <si>
    <t>Capital View I</t>
  </si>
  <si>
    <t>Jerry</t>
  </si>
  <si>
    <t>Beautiful Center Square Garden-Level Unit</t>
  </si>
  <si>
    <t>Todd</t>
  </si>
  <si>
    <t>â˜… RARE 1BR Apt with Character GREAT Location! W/Dâ˜…</t>
  </si>
  <si>
    <t>Studio in Heart of the City, Minus the Chaos</t>
  </si>
  <si>
    <t>Katelyn</t>
  </si>
  <si>
    <t>Heart of Center Square: Designer 2-Bed Retreat</t>
  </si>
  <si>
    <t>Sunny Queen bed, Quiet w/Beautiful Garden</t>
  </si>
  <si>
    <t>David Yisrael</t>
  </si>
  <si>
    <t>â˜…CHIC, Renovated Brownstoneâ˜… in PRIME DT Albany</t>
  </si>
  <si>
    <t>Chic-romantic, center-city, hotel-style apartment.</t>
  </si>
  <si>
    <t>Sonya</t>
  </si>
  <si>
    <t>ðŸƒChic &amp; Cozy Near Washington Park Garden Suite</t>
  </si>
  <si>
    <t>Rosie</t>
  </si>
  <si>
    <t>â˜…MODERN 1BR GREAT Location Downtown! W/D Parking!â˜…</t>
  </si>
  <si>
    <t>Lovely 1 Bedroom Unit In Historic Brownstone!</t>
  </si>
  <si>
    <t>David</t>
  </si>
  <si>
    <t>Modern space, everything you could want!</t>
  </si>
  <si>
    <t>Garden Apartment in Historic Center Square Home</t>
  </si>
  <si>
    <t>Jason</t>
  </si>
  <si>
    <t>Empire Plaza View II</t>
  </si>
  <si>
    <t>* Adorable home w/parking near great restaurants *</t>
  </si>
  <si>
    <t>+ Perfect place to make memories with loved ones +</t>
  </si>
  <si>
    <t>â˜…MODERN 1BR Apt w/ PRIVATE deck! W/Dâ˜…</t>
  </si>
  <si>
    <t>Washington Parkside 1 Bedroom In 1800s Brownstone!</t>
  </si>
  <si>
    <t>Spacious Urban APT w/4BR &amp; Office in Albany</t>
  </si>
  <si>
    <t>Brian</t>
  </si>
  <si>
    <t>Private Garden Apt in Downtown Albany|Pets Allowed</t>
  </si>
  <si>
    <t>â˜… BEAUTIFUL  2 BED 2 BATH  w/ SOAKER TUB + W/Dâ˜…</t>
  </si>
  <si>
    <t>/ Sauna Garden Getaway\ 1943 SUNY Eagle Hill</t>
  </si>
  <si>
    <t>Charming 1 Bdrm Garden Apt in Historic Brownstone</t>
  </si>
  <si>
    <t>Pine Hills Stay 1 Bedroom</t>
  </si>
  <si>
    <t>Erion</t>
  </si>
  <si>
    <t>Beautiful 2 BDR Apartment in the heart of Albany</t>
  </si>
  <si>
    <t>Beautiful 1 bedroom In the heart of Albany</t>
  </si>
  <si>
    <t>Charming 170-Year-Old Home in the Heart of Albany</t>
  </si>
  <si>
    <t>Jared</t>
  </si>
  <si>
    <t>Cozy townhouse, close to hospital, free parking!</t>
  </si>
  <si>
    <t>Lovely 1 bedroom rental close to Alb Med!</t>
  </si>
  <si>
    <t>Cozy 1 bedroom with office and luxurious King size</t>
  </si>
  <si>
    <t>Uniah</t>
  </si>
  <si>
    <t>Modern one bedroom with free off street parking</t>
  </si>
  <si>
    <t>Jesse's Suite @ The Historic Jesse Buel House</t>
  </si>
  <si>
    <t>Iconic City Center Apt in Downtown | Pets Allowed</t>
  </si>
  <si>
    <t>Modern luxury one bedroom with off street parking</t>
  </si>
  <si>
    <t>The Historic Jesse Buel Farmhouse</t>
  </si>
  <si>
    <t>â˜…SPACIOUS 1BR Apt w/ Character 10ft Ceilings W/D!â˜…</t>
  </si>
  <si>
    <t>Clean lines and accessible Convenient Location!</t>
  </si>
  <si>
    <t>Jordan</t>
  </si>
  <si>
    <t>Perfect for Families and Traveling Professionals</t>
  </si>
  <si>
    <t>Lori</t>
  </si>
  <si>
    <t>ðŸª´ Historic &amp; Homey 1 Bdrm Apt @ Downtown Albany</t>
  </si>
  <si>
    <t>Mohammed</t>
  </si>
  <si>
    <t>Modern luxury studio with free off street parking</t>
  </si>
  <si>
    <t>CHEERFULL 3 BEDROOM HOME WITH FREE PARKING.</t>
  </si>
  <si>
    <t>Patrice</t>
  </si>
  <si>
    <t>Beautiful 4 bedroom house Large eat in kitchen</t>
  </si>
  <si>
    <t>**New Listing! Modern 2 bdrm Apt in Mansion Area!</t>
  </si>
  <si>
    <t>Johnny</t>
  </si>
  <si>
    <t>Elegant, spacious studio apt in historic mansion</t>
  </si>
  <si>
    <t>Relax in Style by Washington Park - Free Parking</t>
  </si>
  <si>
    <t>Rabia</t>
  </si>
  <si>
    <t>Historic Gem, Fireplace,2BR/2BA,Capitol District</t>
  </si>
  <si>
    <t>Timothy</t>
  </si>
  <si>
    <t>Cozy Albany Home</t>
  </si>
  <si>
    <t>Zuhair</t>
  </si>
  <si>
    <t>Cozy 1 Bedroom Apt in desirable Albany locale</t>
  </si>
  <si>
    <t>Nicholas</t>
  </si>
  <si>
    <t>Luxurious one bedroom with off-street parking</t>
  </si>
  <si>
    <t>Charming Central Escape | 2BR + Parking</t>
  </si>
  <si>
    <t>Modern &amp; Homey 1BD/1BA Fl 1 Apt @ Downtown Albany</t>
  </si>
  <si>
    <t>Lovely private room in center square for $700/mo</t>
  </si>
  <si>
    <t>4 bed all on one floor</t>
  </si>
  <si>
    <t>Adirondack Suite #1</t>
  </si>
  <si>
    <t>1 Bedroom on Lincoln Park, near Lark and Downtown</t>
  </si>
  <si>
    <t>Private Room in the Center of the Albany</t>
  </si>
  <si>
    <t>Elegant Studio in Center Square</t>
  </si>
  <si>
    <t>Charming location near universities &amp; hospital</t>
  </si>
  <si>
    <t>ParkSouth Stay 2 Bedroom with Parking</t>
  </si>
  <si>
    <t>Rest+Restore Room â€¢ Short &amp; Extended Stay â€¢</t>
  </si>
  <si>
    <t>Melissa</t>
  </si>
  <si>
    <t>Entire cozy unit in Albany</t>
  </si>
  <si>
    <t>Hasan</t>
  </si>
  <si>
    <t>Private Entry to bedroom and private bath</t>
  </si>
  <si>
    <t>Donna</t>
  </si>
  <si>
    <t>Center Square Gem: Junior 1 Bedroom</t>
  </si>
  <si>
    <t>Glamorous 1BR Retreat in Center Square</t>
  </si>
  <si>
    <t>Elegant newly renovated cozy smart apartment</t>
  </si>
  <si>
    <t>Tomar</t>
  </si>
  <si>
    <t>*The Allen House* Gorgeous Apartment - Sleeps 8</t>
  </si>
  <si>
    <t>Newly Renovated| Washer&amp;Dryer|5G Wifi</t>
  </si>
  <si>
    <t>Vertesol</t>
  </si>
  <si>
    <t>Historic Washington Park Inn | Full Mansion | 7 BR</t>
  </si>
  <si>
    <t>Terra</t>
  </si>
  <si>
    <t>Shared room</t>
  </si>
  <si>
    <t>Historic Washington Park Inn | Room 4 | Floor 2</t>
  </si>
  <si>
    <t>Albany Medical/colleges/Downtown Albany/ Room O</t>
  </si>
  <si>
    <t>Historic Washington Park Inn | Room 6 | Floor 2</t>
  </si>
  <si>
    <t>3br/2ba Near Alb Med &amp; St.Petes.</t>
  </si>
  <si>
    <t>Historic Washington Park Inn | Room 5 | Floor 2</t>
  </si>
  <si>
    <t>Historic Washington Park Inn | Room 1 | 1st Floor</t>
  </si>
  <si>
    <t>Two bedroom apartment near hospitals pet friendly</t>
  </si>
  <si>
    <t>Jessica</t>
  </si>
  <si>
    <t>The front room w/ TV and king size bed</t>
  </si>
  <si>
    <t>F S</t>
  </si>
  <si>
    <t>Cozy Apartment across the Park</t>
  </si>
  <si>
    <t>COMFY Room/w Private BATH + TV</t>
  </si>
  <si>
    <t>Cristian</t>
  </si>
  <si>
    <t>2 br apt 2 min walk to albanymed offstreet parking</t>
  </si>
  <si>
    <t>Michaela</t>
  </si>
  <si>
    <t>Boho-Chic Cape Conveniently Located</t>
  </si>
  <si>
    <t>Craig</t>
  </si>
  <si>
    <t>Mellow Cove</t>
  </si>
  <si>
    <t>Natasha</t>
  </si>
  <si>
    <t>Cozy Cove Away From Home</t>
  </si>
  <si>
    <t>Center Square Serenity: 2-Bedroom Elegance</t>
  </si>
  <si>
    <t>Modern Cottage-Perfect for Families!</t>
  </si>
  <si>
    <t>Antoinette</t>
  </si>
  <si>
    <t>Spacious Home Away from Home!</t>
  </si>
  <si>
    <t>Philip</t>
  </si>
  <si>
    <t>TWELFTH WARD</t>
  </si>
  <si>
    <t>Your luxury home away from home</t>
  </si>
  <si>
    <t>Grant</t>
  </si>
  <si>
    <t>Stunning Guest Suite in Historic 1874 Row House</t>
  </si>
  <si>
    <t>Phat</t>
  </si>
  <si>
    <t>Plum room, private queen near Albany Med, UAlbany</t>
  </si>
  <si>
    <t>Emily</t>
  </si>
  <si>
    <t>Updated Historic Brownstone Apt.</t>
  </si>
  <si>
    <t>Quiet Room Near Everything</t>
  </si>
  <si>
    <t>ParkSouth Brickhouse 1 Bedroom</t>
  </si>
  <si>
    <t>Modern / Downtown Albany 1 BR APT</t>
  </si>
  <si>
    <t>Miguelino</t>
  </si>
  <si>
    <t>The Comfort II</t>
  </si>
  <si>
    <t>Gabriel</t>
  </si>
  <si>
    <t>The Comfort</t>
  </si>
  <si>
    <t>Walk to Downtown Albany: Ten Broeck Triangle Apt!</t>
  </si>
  <si>
    <t>Evolve</t>
  </si>
  <si>
    <t>Airy 5Br-2Ba,Kids Rm, 6TVs,Pvt Fence-yard&amp;Parking!</t>
  </si>
  <si>
    <t>Rashawn</t>
  </si>
  <si>
    <t>2 bdrm Modern &amp; Hip Apt w/ Patio</t>
  </si>
  <si>
    <t>"The LEO Home" Private Bedroom 4</t>
  </si>
  <si>
    <t>/Luxury Modern Western Hideout\</t>
  </si>
  <si>
    <t>*The Red House* 4 Bedroomsâ€¢Beautifully Renovated</t>
  </si>
  <si>
    <t>Luxury apartment near Saint Peter / Albany Med</t>
  </si>
  <si>
    <t>Joe</t>
  </si>
  <si>
    <t>R&amp;R | Hospitals, Colleges + Politics</t>
  </si>
  <si>
    <t>Room for rent</t>
  </si>
  <si>
    <t>Grace</t>
  </si>
  <si>
    <t>Work hard! Play hard!</t>
  </si>
  <si>
    <t>Kody</t>
  </si>
  <si>
    <t>Newly Renovated Gem in Melrose - Pet Friendly</t>
  </si>
  <si>
    <t>Thaddeus</t>
  </si>
  <si>
    <t>Stylish top floor apt w/parking</t>
  </si>
  <si>
    <t>Historic Washington Park Inn | Room 7 | Floor 2</t>
  </si>
  <si>
    <t>Hudson 2 at The Argus Hotel</t>
  </si>
  <si>
    <t>Argus</t>
  </si>
  <si>
    <t>Hudson 3 ADA at The Argus Hotel</t>
  </si>
  <si>
    <t>Hudson 4 at The Argus Hotel</t>
  </si>
  <si>
    <t>Hudson 5 at The Argus Hotel</t>
  </si>
  <si>
    <t>Whalen 1 Suite at The Argus Hotel</t>
  </si>
  <si>
    <t>Whalen 2 Deluxe at The Argus Hotel</t>
  </si>
  <si>
    <t>Whalen 3 at The Argus Hotel</t>
  </si>
  <si>
    <t>Whalen 4 at The Argus Hotel</t>
  </si>
  <si>
    <t>Knickerbocker 1 The Argus Hotel</t>
  </si>
  <si>
    <t>Knickerbocker 3 The Argus Hotel</t>
  </si>
  <si>
    <t>Historic Carriage House  in Washington Park</t>
  </si>
  <si>
    <t>The backroom with TV, Queen bed and extra futon</t>
  </si>
  <si>
    <t>The little room with TV and twin bed</t>
  </si>
  <si>
    <t>The spacious room w/ tv dresser/desk</t>
  </si>
  <si>
    <t>Historic, Spacious Mansion Suite</t>
  </si>
  <si>
    <t>Modern and cozy home</t>
  </si>
  <si>
    <t>Eraj</t>
  </si>
  <si>
    <t>Comfy studio in heart of Albany</t>
  </si>
  <si>
    <t>Justin</t>
  </si>
  <si>
    <t>Historic Brownstone in Downtown Albany</t>
  </si>
  <si>
    <t>Abel</t>
  </si>
  <si>
    <t>Modern 2-bed Apt / Hospitals, SUNY, State Office</t>
  </si>
  <si>
    <t>Tanjin</t>
  </si>
  <si>
    <t>Abba House historic Retreat - 1st Floor Queen Bed</t>
  </si>
  <si>
    <t>Chic Madison Parkview</t>
  </si>
  <si>
    <t>JShing</t>
  </si>
  <si>
    <t>The House That Pat Built</t>
  </si>
  <si>
    <t>Tyrell</t>
  </si>
  <si>
    <t>Modern 1BR in a great location</t>
  </si>
  <si>
    <t>Ahmad</t>
  </si>
  <si>
    <t>Garden level apartment | Center Sq-great location!</t>
  </si>
  <si>
    <t>Two bedroom close to colleges!</t>
  </si>
  <si>
    <t>5BR/4BA Retreat | Fire Pit + BBQ</t>
  </si>
  <si>
    <t>Albany 3 Bedroom Apt. Sleeps 6</t>
  </si>
  <si>
    <t>Zhechao Ronald</t>
  </si>
  <si>
    <t>Spacious Apartment Downtown Albany, NY</t>
  </si>
  <si>
    <t>Amar</t>
  </si>
  <si>
    <t>Elegant Albany Retreat | Mins to D/T &amp; UAlbany</t>
  </si>
  <si>
    <t>Cindy</t>
  </si>
  <si>
    <t>Massive 4BD/3BA 2-Fl Townhouse Apt Downtown Albany</t>
  </si>
  <si>
    <t>Top floor w/off street parking</t>
  </si>
  <si>
    <t>Abba House Historic Retreat - 3rd Flr Twin Bed</t>
  </si>
  <si>
    <t>Abba House Historic Retreat - Queen Bed w/ Single</t>
  </si>
  <si>
    <t>ABBA House Retreat - King Bed w/ Large Office</t>
  </si>
  <si>
    <t>ABBA House Retreat: Centrally Located Grand Manor</t>
  </si>
  <si>
    <t>Abba House Historic Retreat - 2nd Floor Full Bed</t>
  </si>
  <si>
    <t>çº½çº¦å·žé¦–åºœçš„æ¸©é¦¨å°å±‹</t>
  </si>
  <si>
    <t>Yan</t>
  </si>
  <si>
    <t>Heart of Albany - Downtown Near Everything</t>
  </si>
  <si>
    <t>Rodney</t>
  </si>
  <si>
    <t>ABBA House Retreat- Queen Bed w/ Large Closet</t>
  </si>
  <si>
    <t>Abba House Historic Retreat - 2nd Floor Queen Bed</t>
  </si>
  <si>
    <t>Rowhouse 9 ParkSouth 1 Bedroom</t>
  </si>
  <si>
    <t>Downtown Studio</t>
  </si>
  <si>
    <t>Etem</t>
  </si>
  <si>
    <t>*Beautiful* Spacious Prime DT 1 Bedroom Apt w GYM</t>
  </si>
  <si>
    <t>*Spacious* Modern 1 Bedroom RARE Apt w GYM</t>
  </si>
  <si>
    <t>*Huge, bright, private 2Bedroom*</t>
  </si>
  <si>
    <t>2 bed room Apartment</t>
  </si>
  <si>
    <t>Osas</t>
  </si>
  <si>
    <t>Fully Furnished 2BR- 5 min to Albany Med Downtown</t>
  </si>
  <si>
    <t>Dashima</t>
  </si>
  <si>
    <t>Bonjour, Bienvenue A Chez Pierre</t>
  </si>
  <si>
    <t>Lynn</t>
  </si>
  <si>
    <t>Massive 5BD/4BA 3-Story Duplex @ Downtown Albany</t>
  </si>
  <si>
    <t>Nighthawk room, private twin near AMC, UAlbany</t>
  </si>
  <si>
    <t>Lark St Oasis: Parking &amp; Laundry</t>
  </si>
  <si>
    <t>Newly renovated cozy apartment !</t>
  </si>
  <si>
    <t>Triplex oasis w:parking near MVP</t>
  </si>
  <si>
    <t>Walkable Studio: Restaurants &amp; Fun Just Steps Away</t>
  </si>
  <si>
    <t>Homey, Quiet 2BR W/ Washer Dryer</t>
  </si>
  <si>
    <t>Rowhouse 03 1 BDR Apartment</t>
  </si>
  <si>
    <t>Abba House historic Retreat - 2nd Floor Queen</t>
  </si>
  <si>
    <t>Downtown Brownstone with a View!</t>
  </si>
  <si>
    <t>Matt</t>
  </si>
  <si>
    <t>Historical Pastures</t>
  </si>
  <si>
    <t>Stephanie</t>
  </si>
  <si>
    <t>Travelers House - Private 2 bedrooms with a deck</t>
  </si>
  <si>
    <t>Sefa</t>
  </si>
  <si>
    <t>Center Square Garden Apt + W/D | Walk to Capitol</t>
  </si>
  <si>
    <t>Short &amp; Comfy</t>
  </si>
  <si>
    <t>Historic Garden Retreat in 1858 Row House + W/D</t>
  </si>
  <si>
    <t>Cozy apartment in Albany</t>
  </si>
  <si>
    <t>Modern townhouse 2 Bedrooms, King Bed, parking</t>
  </si>
  <si>
    <t>Nori</t>
  </si>
  <si>
    <t>Charming 1BR Near Capitol-Dwntwn</t>
  </si>
  <si>
    <t>Robert</t>
  </si>
  <si>
    <t>Modern Duplex - Historical Home</t>
  </si>
  <si>
    <t>Welcome home travelers</t>
  </si>
  <si>
    <t>Andrew</t>
  </si>
  <si>
    <t>Close to MVP/Airport/SUNY; 45m-1Hr: Saratoga, LG!</t>
  </si>
  <si>
    <t>John</t>
  </si>
  <si>
    <t>Calling all travelers</t>
  </si>
  <si>
    <t>Cozy Bedrooms in Albany</t>
  </si>
  <si>
    <t>Adriana</t>
  </si>
  <si>
    <t>"The LEO Home" Private Bedroom 1</t>
  </si>
  <si>
    <t>North Allen</t>
  </si>
  <si>
    <t>Safe Comfy Cozy 2 bedrooms.</t>
  </si>
  <si>
    <t>Lavern</t>
  </si>
  <si>
    <t>Modern Cozy Retreat in Upstate NY-Guest Favorite</t>
  </si>
  <si>
    <t>Riccardo</t>
  </si>
  <si>
    <t>Larson Green</t>
  </si>
  <si>
    <t>Larson Blue</t>
  </si>
  <si>
    <t>Albany historic Washington Park</t>
  </si>
  <si>
    <t>Joseph</t>
  </si>
  <si>
    <t>"The Albany Allen Home" Private Bedroom 1</t>
  </si>
  <si>
    <t>Funky loft studio</t>
  </si>
  <si>
    <t>*Private Entrance* Cozy Apt Bright + Modern W/D</t>
  </si>
  <si>
    <t>Walk to convention center:Lark St:Capital</t>
  </si>
  <si>
    <t>New near major medical facility</t>
  </si>
  <si>
    <t>Spacious, Modern Gem in Melrose - Pet Friendly</t>
  </si>
  <si>
    <t>Limited Time Listing</t>
  </si>
  <si>
    <t>Upscale Listing-Heart of Albany</t>
  </si>
  <si>
    <t>Albany Business Class Apartment</t>
  </si>
  <si>
    <t>Empire Plaza Apartment</t>
  </si>
  <si>
    <t>Ben</t>
  </si>
  <si>
    <t>"The Albany Allen Home" Private Bedroom 3</t>
  </si>
  <si>
    <t>House near major medical centers/colleges</t>
  </si>
  <si>
    <t>Beautiful 2 Bedroom with Parking</t>
  </si>
  <si>
    <t>Pine Hills Stay 1 BDR with Parking</t>
  </si>
  <si>
    <t>Room in Albany, 4 minutes from AMC</t>
  </si>
  <si>
    <t>Fabiola</t>
  </si>
  <si>
    <t>Albany Vacation Rental w/ State Capitol Views!</t>
  </si>
  <si>
    <t>"The LEO Home" Private Bedroom 2</t>
  </si>
  <si>
    <t>Traveling Medical Professionals</t>
  </si>
  <si>
    <t>Victoria</t>
  </si>
  <si>
    <t>"The Albany Allen Home" Private Bedroom 5</t>
  </si>
  <si>
    <t>Dali room, private queen near AMC, UAlbany</t>
  </si>
  <si>
    <t>White Cozy Room</t>
  </si>
  <si>
    <t>Homey Room</t>
  </si>
  <si>
    <t>/Audubon Apartment\ 3bed 1bath built1928 Pine Hill</t>
  </si>
  <si>
    <t>King Bed â€¢ Workspace â€¢ Laundry | Walk to Downtown</t>
  </si>
  <si>
    <t>Larson Gold</t>
  </si>
  <si>
    <t>Spacious Garden Apt in Center Square</t>
  </si>
  <si>
    <t>Nice room in downtown albany</t>
  </si>
  <si>
    <t>Abdelrahman</t>
  </si>
  <si>
    <t>"The Albany Allen Home" Private Bedroom 4</t>
  </si>
  <si>
    <t>staycation CAP region</t>
  </si>
  <si>
    <t>Gregory</t>
  </si>
  <si>
    <t>"The Albany Allen Home" Private Bedroom 2</t>
  </si>
  <si>
    <t>Rowhouse 10 One Bedroom</t>
  </si>
  <si>
    <t>"The LEO Home" Private Bedroom 3</t>
  </si>
  <si>
    <t>*Serene* Parkside 2BR Apt: Private Entrance, W/D</t>
  </si>
  <si>
    <t>Stylish studio - downtown Albany</t>
  </si>
  <si>
    <t>Row house on the park</t>
  </si>
  <si>
    <t>Chris</t>
  </si>
  <si>
    <t>Central Location 1 Bed 1 Bath With Parking</t>
  </si>
  <si>
    <t>Aleks</t>
  </si>
  <si>
    <t>Short term across from UAlbany</t>
  </si>
  <si>
    <t>Melinda</t>
  </si>
  <si>
    <t>Two bedroom apartment in the heart of Albany</t>
  </si>
  <si>
    <t>Spacious &amp; Quiet Townhouse Near Legislative Center</t>
  </si>
  <si>
    <t>Paola</t>
  </si>
  <si>
    <t>Private bedroom 7 minutes from Albany Med</t>
  </si>
  <si>
    <t>Cowen Residence Hospitality.</t>
  </si>
  <si>
    <t>Conseta</t>
  </si>
  <si>
    <t>1 bedroom apt close to hospitals,3min to Albanymed</t>
  </si>
  <si>
    <t>â€˜The Blue Homeâ€™ Private Bedroom 3 / 1 Full Bath</t>
  </si>
  <si>
    <t>Modern Luxury 2 bedroom w/yard</t>
  </si>
  <si>
    <t>'The Blue Home' Private Bedroom 1 / 1 Full Bath</t>
  </si>
  <si>
    <t>Room in Albany</t>
  </si>
  <si>
    <t>Elhadj</t>
  </si>
  <si>
    <t>Room In Albany, NY</t>
  </si>
  <si>
    <t>Fresh &amp; Modernized 2BR Fl 1 Apt @ Downtown Albany</t>
  </si>
  <si>
    <t>â€˜The Blue Homeâ€™ Private Bedroom 2 / 1 Full Bath</t>
  </si>
  <si>
    <t>â€˜The Blue Homeâ€™ Private Bedroom 4 / 1 Full Bath</t>
  </si>
  <si>
    <t>Private Room In Albany</t>
  </si>
  <si>
    <t>Prime Location - 1 Bedroom</t>
  </si>
  <si>
    <t>Cathleen</t>
  </si>
  <si>
    <t>The Sweet spot</t>
  </si>
  <si>
    <t>Dennis</t>
  </si>
  <si>
    <t>The Whisky House</t>
  </si>
  <si>
    <t>Tyler</t>
  </si>
  <si>
    <t>Top of The Capital</t>
  </si>
  <si>
    <t>Albany Prime Location - 1 Bed</t>
  </si>
  <si>
    <t>Charming &amp; Roomy 3BR/1BA Fl 2 Apt @Downtown Albany</t>
  </si>
  <si>
    <t>Center Sq 1BR| Walk to Capitol | Parking | Lark St</t>
  </si>
  <si>
    <t>Capital City Escape</t>
  </si>
  <si>
    <t>Two bedroom apartment in Albany</t>
  </si>
  <si>
    <t>A piece of mind</t>
  </si>
  <si>
    <t>The Essencesless Cozy Stay</t>
  </si>
  <si>
    <t>Vacation Home in Albany</t>
  </si>
  <si>
    <t>Capital Comfort Stay</t>
  </si>
  <si>
    <t>Cecilia</t>
  </si>
  <si>
    <t>Lovely located 2 bdrm - Steps - Dwntwn &amp; Hospitals</t>
  </si>
  <si>
    <t>Near Hospitals: Home w/ Yard in Albany!</t>
  </si>
  <si>
    <t>Central cozy 4 bedroom w/King bed</t>
  </si>
  <si>
    <t>Walk to Albany Med, MVP Arena, Washington Park</t>
  </si>
  <si>
    <t>Vander</t>
  </si>
  <si>
    <t>Family Home|Playground|Fire Pit|Driveway|Movies</t>
  </si>
  <si>
    <t>Liza</t>
  </si>
  <si>
    <t>A peaceful home away from home</t>
  </si>
  <si>
    <t>Samantha</t>
  </si>
  <si>
    <t>Cozy Sunshine</t>
  </si>
  <si>
    <t>Woodlands room, private queen, walk to AMC</t>
  </si>
  <si>
    <t>Crimson private queen room, walk to Albany Med</t>
  </si>
  <si>
    <t>Peony room, private w/ King bed!</t>
  </si>
  <si>
    <t>Cozy Sunset</t>
  </si>
  <si>
    <t>Elegant Albany Home Next Downtown W/Free Breakfast</t>
  </si>
  <si>
    <t>â¨Premier Stay Co.â©</t>
  </si>
  <si>
    <t>Cozy Home 5 STAR AREA W/Parking</t>
  </si>
  <si>
    <t>Cranberry room, large private queen near AMC</t>
  </si>
  <si>
    <t>New Large Bedroom! Has Parking!</t>
  </si>
  <si>
    <t>Alain</t>
  </si>
  <si>
    <t>Albany Cozy Room Next to downtown W/breakfast</t>
  </si>
  <si>
    <t>New Bedroom! Centrally located, Includes Laundry!</t>
  </si>
  <si>
    <t>The Small Yellow Room with twin bed /tv</t>
  </si>
  <si>
    <t>New Bedroom Centrally Located! Parking &amp; Laundry</t>
  </si>
  <si>
    <t>4 bedroom house with all the amenities</t>
  </si>
  <si>
    <t>Room near SUNY Albany and 4 minutes from AMC</t>
  </si>
  <si>
    <t>Albany Getaway Near Brewery District</t>
  </si>
  <si>
    <t>Paul</t>
  </si>
  <si>
    <t>Downtown ALB â€¢ Hot Tub â€¢ Game Room â€¢ Free Parking</t>
  </si>
  <si>
    <t>Yasiel</t>
  </si>
  <si>
    <t>/Purple Potty\3bed1ba Apartment</t>
  </si>
  <si>
    <t>Charming, Spacious Apt Downtown Albany</t>
  </si>
  <si>
    <t>Albany Cozy Suite Close to Downtown with Breakfast</t>
  </si>
  <si>
    <t>Stylish Albany Room W/Breakfast Next to Downtown.</t>
  </si>
  <si>
    <t>Cozy apartment in beautiful Downtown Albany</t>
  </si>
  <si>
    <t>Nathan</t>
  </si>
  <si>
    <t>Global Entry Unit # 1 (2nd Floor Walk-up)</t>
  </si>
  <si>
    <t>Dale</t>
  </si>
  <si>
    <t>Timelessly Restored 2-Bed Fl 2 Apt @DowntownAlbany</t>
  </si>
  <si>
    <t>Room close to AMed and St peters</t>
  </si>
  <si>
    <t>Umit</t>
  </si>
  <si>
    <t>/Red Den Apartment\3bed1bath</t>
  </si>
  <si>
    <t>Comfy &amp; Convenient 2-Bed Fl 1 Apt @DowntownAlbany</t>
  </si>
  <si>
    <t>A charming apartment.</t>
  </si>
  <si>
    <t>Jeffrey</t>
  </si>
  <si>
    <t>Spacious convenient to Hospital and capital</t>
  </si>
  <si>
    <t>Spacious 2-Bed Queen|Free Parking</t>
  </si>
  <si>
    <t>Martin</t>
  </si>
  <si>
    <t>Hotel room</t>
  </si>
  <si>
    <t>Cozy Monthly | Pvt | W/D | Pets</t>
  </si>
  <si>
    <t>Albany Cozy Stay W/Breakfast Close to Downtown</t>
  </si>
  <si>
    <t>Albany Cozy Room W/Breakfast Next to Downtown</t>
  </si>
  <si>
    <t>Albany Cozy room W/Breakfast Close to Downtown</t>
  </si>
  <si>
    <t>Charming 1 Bedroom House</t>
  </si>
  <si>
    <t>The Dove: A Peaceful Large Studio Private Bathroom</t>
  </si>
  <si>
    <t>Roland</t>
  </si>
  <si>
    <t>Historic Downtown Albany 2 Bdrm</t>
  </si>
  <si>
    <t>2BR w/ Parking + deck - Near Downtown &amp; MVP Arena</t>
  </si>
  <si>
    <t>Andres</t>
  </si>
  <si>
    <t>2BR w/ Parking + Deck â€¢ Near MVP Arena</t>
  </si>
  <si>
    <t>Downtown Living Space</t>
  </si>
  <si>
    <t>Albany Luxury Room W/Breakfast Next to Downtown</t>
  </si>
  <si>
    <t>Albany Central Room W/Breakfast Next to Downtown</t>
  </si>
  <si>
    <t>The Madison- Work Friendly Apt with Parking</t>
  </si>
  <si>
    <t>Bright &amp; Airy 1 BDRM Private Apt</t>
  </si>
  <si>
    <t>Slate private queen room near AMC</t>
  </si>
  <si>
    <t>Silver private queen room, central location</t>
  </si>
  <si>
    <t>Ivory private queen, walk to AMC</t>
  </si>
  <si>
    <t>Sienna private queen near AMC</t>
  </si>
  <si>
    <t>Downtown Luxe- Steps to MVP Arena &amp; NYS Capital</t>
  </si>
  <si>
    <t>Jonathan</t>
  </si>
  <si>
    <t>Ontario's Luxe House</t>
  </si>
  <si>
    <t>Global Entry Unit # 2 (3rd Floor Walk-up)</t>
  </si>
  <si>
    <t>Spacious 4br home near hospitals, schools</t>
  </si>
  <si>
    <t>Central Albany Retreat | Walk Everywhere + Parking</t>
  </si>
  <si>
    <t>Albany Elegant room with Breakfast Next Downtown</t>
  </si>
  <si>
    <t>Albany Cozy Room Next to Downtown With Breakfast</t>
  </si>
  <si>
    <t>Albany Cozy Home with Breakfast Next to Downtown</t>
  </si>
  <si>
    <t>Albany Modern Home W/Breakfast Minutes to Downtown</t>
  </si>
  <si>
    <t>Lovely Albany room with Breakfast Next to Downtown</t>
  </si>
  <si>
    <t>Albany Central room Breakfast minutes to Downtown</t>
  </si>
  <si>
    <t>Apartment in Albany</t>
  </si>
  <si>
    <t>Downtown 3BR duplex full kitchen parking off i-787</t>
  </si>
  <si>
    <t>Lee</t>
  </si>
  <si>
    <t>Cozy Room - Best City Location</t>
  </si>
  <si>
    <t>Danyal</t>
  </si>
  <si>
    <t>Elegant 1BR in Historic Center Square, Albany</t>
  </si>
  <si>
    <t>Cozy Teal Retreat | 1 Mile Albany Medical &amp; VA Med</t>
  </si>
  <si>
    <t>Large Studio Downtown with Pool Table</t>
  </si>
  <si>
    <t>Traverse</t>
  </si>
  <si>
    <t>Large 1 bedroom downtown!</t>
  </si>
  <si>
    <t>Spacious Downtown 1BR Cozy Apartment!</t>
  </si>
  <si>
    <t>Spacious Studio | Downtown</t>
  </si>
  <si>
    <t>Very Comfortable Studio Downtown</t>
  </si>
  <si>
    <t>Downtown Cozy Studio - Comfy &amp; Clean!</t>
  </si>
  <si>
    <t>Stylish 3BR Stay Near Albany Medical Center</t>
  </si>
  <si>
    <t>Spacious 4BR Home Near Hospitals â€¢ FREE Parking</t>
  </si>
  <si>
    <t>Kotun</t>
  </si>
  <si>
    <t>Modern Albany Room Next to Downtown with Breakfast</t>
  </si>
  <si>
    <t>Suite One - 1 Bedroom Apartment</t>
  </si>
  <si>
    <t>Historic Brick City Center Glow</t>
  </si>
  <si>
    <t>JNM Living Spaces</t>
  </si>
  <si>
    <t>Bright, Clean, Convenient. Close to Albany Med.</t>
  </si>
  <si>
    <t>Meredith</t>
  </si>
  <si>
    <t>ParkSide Retreat - 2 BDR with Off Street Parking</t>
  </si>
  <si>
    <t>Charming 2 BR home in Albany</t>
  </si>
  <si>
    <t>Rebecca</t>
  </si>
  <si>
    <t>Midtown Retreat!</t>
  </si>
  <si>
    <t>AnnMarie</t>
  </si>
  <si>
    <t>Welcome to Albany! Close to Hospitals and Shops.</t>
  </si>
  <si>
    <t>Cozy Albany room with Breakfast Next to Downtown</t>
  </si>
  <si>
    <t>Elegant Albany Home with Breakfast Close Downtown</t>
  </si>
  <si>
    <t>2 bedrooms, 1 bathroom [HUGE] Furnished apartment</t>
  </si>
  <si>
    <t>Allah</t>
  </si>
  <si>
    <t>Hot Tub Patio + 2 Ensuites | Walk to Capitol &amp; MVP</t>
  </si>
  <si>
    <t>Stylish renovated 2 bedroom apartment KING bed!</t>
  </si>
  <si>
    <t>Furdowse</t>
  </si>
  <si>
    <t>'The Morris Home' Private Bedroom 4 / 2 Full Bath</t>
  </si>
  <si>
    <t>Urban Micro Loft | Central Albany + Parking</t>
  </si>
  <si>
    <t>'The Morris Home' Private Bedroom 5 / 2 Full Bath</t>
  </si>
  <si>
    <t>Charming Cottage</t>
  </si>
  <si>
    <t>Julia</t>
  </si>
  <si>
    <t>Cozy Albany Home with Breakfast Next to Downtown</t>
  </si>
  <si>
    <t>Great Two bedroom in Albany NY-Centrally Located</t>
  </si>
  <si>
    <t>Sherra</t>
  </si>
  <si>
    <t>Lovely &amp; Spacious 3BR by Albany Med</t>
  </si>
  <si>
    <t>Historic City Center Brick Getaway</t>
  </si>
  <si>
    <t>Albany Cozy home with Breakfast Next to Downtown</t>
  </si>
  <si>
    <t>Larson Honey</t>
  </si>
  <si>
    <t>AMC Traveling Medical Professionals!</t>
  </si>
  <si>
    <t>Landing | Spectacular 2BD, Gym</t>
  </si>
  <si>
    <t>Landing</t>
  </si>
  <si>
    <t>Landing | Chic 1BD, Gym</t>
  </si>
  <si>
    <t>Walk to Albany Med in 5 minutes!</t>
  </si>
  <si>
    <t>Albany Central room with Breakfast Next Downtown</t>
  </si>
  <si>
    <t>Lovely Albany Room with Breakfast Next Downtown</t>
  </si>
  <si>
    <t>Charming Albany Retreat ~ 3 Mi to Downtown!</t>
  </si>
  <si>
    <t>The Grand on Clinton across from The Palace!</t>
  </si>
  <si>
    <t>Kristy</t>
  </si>
  <si>
    <t>Comfort and Spacious</t>
  </si>
  <si>
    <t>Tanya</t>
  </si>
  <si>
    <t>Albany-center-elite-apartment</t>
  </si>
  <si>
    <t>Olena</t>
  </si>
  <si>
    <t>Chic 2BR Retreat in Albany Cozy, Stylish &amp; Central</t>
  </si>
  <si>
    <t>Two-bedroom House Albany</t>
  </si>
  <si>
    <t>Rich</t>
  </si>
  <si>
    <t>Empire State Executive Suite| Prime Plaza Location</t>
  </si>
  <si>
    <t>&amp; Peaceful Modern Home Near Central Albany</t>
  </si>
  <si>
    <t>Bronson</t>
  </si>
  <si>
    <t>Relaxing 1BD Stay Albany W/Breakfast Next Downtown</t>
  </si>
  <si>
    <t>Albany Comfy 1BD Hotel W/Breakfast Next Downtown</t>
  </si>
  <si>
    <t>Modern 1BD Room in Albany with Breakfast &amp; view</t>
  </si>
  <si>
    <t>â€˜The Morris Homeâ€™ Private Bedroom 1 / 2 Full Bath</t>
  </si>
  <si>
    <t>Comfortable Home Near Downtown Albany &amp; Highway</t>
  </si>
  <si>
    <t>Antonio</t>
  </si>
  <si>
    <t>Historic Albany Nest | Center of it All + Parking</t>
  </si>
  <si>
    <t>Large Bedroom in the heart of downtown Albany.</t>
  </si>
  <si>
    <t>Idongesit</t>
  </si>
  <si>
    <t>â€˜The Morris Homeâ€™ Private Bedroom 6 / 2 Full Bath</t>
  </si>
  <si>
    <t>A beautiful home away from home for travelers.</t>
  </si>
  <si>
    <t>Private 3BR Townhouse by St. Peter's | Fast Wi-Fi</t>
  </si>
  <si>
    <t>Large room with walk in closet, work station</t>
  </si>
  <si>
    <t>Newly Renovated 3BR/2BA with Private Attic Suite</t>
  </si>
  <si>
    <t>Apartment: King Bed + 2 Queens in Spacious 3BR</t>
  </si>
  <si>
    <t>2 min walk to albanymed|offst parking| in unit W/D</t>
  </si>
  <si>
    <t>The Eagle: Cozy Queen Room in Shared Apartment</t>
  </si>
  <si>
    <t>The Owl: Queen Bedroom + Shared Kitchen &amp; Bath</t>
  </si>
  <si>
    <t>The Falcon: large room, king side bed+ work space</t>
  </si>
  <si>
    <t>Charming fully furnished 2BR + office next to AMC</t>
  </si>
  <si>
    <t>Yuriy</t>
  </si>
  <si>
    <t>2 Queen Beds Stay near Times Union Center</t>
  </si>
  <si>
    <t>CH Hotels</t>
  </si>
  <si>
    <t>Double Queen Room | Free Parking &amp; Breakfast!</t>
  </si>
  <si>
    <t>2  Modern Downtown Albany Rooms for Group/Family!</t>
  </si>
  <si>
    <t>2 Restful Rooms for Downtown Albany Stays</t>
  </si>
  <si>
    <t>3 Units Near Hudson River w/ Free Parking!</t>
  </si>
  <si>
    <t>3 Rooms for Family Stay w/ Free On-Site Parking!</t>
  </si>
  <si>
    <t>King Room near Empire State Plaza w/ Free Parking!</t>
  </si>
  <si>
    <t>Downtown Albany Room | Free Breakfast &amp; Parking!</t>
  </si>
  <si>
    <t>New Modern 2 bedroom on the park</t>
  </si>
  <si>
    <t>Eugene</t>
  </si>
  <si>
    <t>Rowhouse 23 Studio</t>
  </si>
  <si>
    <t>Soul-House</t>
  </si>
  <si>
    <t>Zoe</t>
  </si>
  <si>
    <t>Albany Value Stay | Near Universities, Hospitals</t>
  </si>
  <si>
    <t>RedAwning Vacation Rentals</t>
  </si>
  <si>
    <t>New Modern 2 Bedroom on the Park</t>
  </si>
  <si>
    <t>Beautiful Center Square garden apt w/ back patio.</t>
  </si>
  <si>
    <t>Laura</t>
  </si>
  <si>
    <t>Room in Albany, close to Albany Medical Center</t>
  </si>
  <si>
    <t>Central Albany Home with Breakfast Next Downtown</t>
  </si>
  <si>
    <t>Larson Checkered</t>
  </si>
  <si>
    <t>Rowhouse 18 - 1BDR Park South</t>
  </si>
  <si>
    <t>Modern Stay on a budget (ideal for students/profs)</t>
  </si>
  <si>
    <t>Jose</t>
  </si>
  <si>
    <t>Serene and Cozy: Clean, Cozy Contemporary Living</t>
  </si>
  <si>
    <t>Janelle</t>
  </si>
  <si>
    <t>Central Albany Room with Breakfast</t>
  </si>
  <si>
    <t>Modern Albany Home with Breakfast Next Downtown</t>
  </si>
  <si>
    <t>Albany Marvelous Room with Breakfast Next Downtown</t>
  </si>
  <si>
    <t>Location is prime! King &amp; Full bed! Sleeps 4 cozy</t>
  </si>
  <si>
    <t>Two-bedroom apartment in beautiful Center Square</t>
  </si>
  <si>
    <t>Perfect Albany Getaway Near Hospitals &amp; Downtown</t>
  </si>
  <si>
    <t>Great spot in Albany</t>
  </si>
  <si>
    <t>AMC Cozy Bedroom</t>
  </si>
  <si>
    <t>MC Washington Park</t>
  </si>
  <si>
    <t>Serenity Room</t>
  </si>
  <si>
    <t>AIRBNB DATA PROFILING REPORT</t>
  </si>
  <si>
    <t>Dataset Name</t>
  </si>
  <si>
    <t>Total Records</t>
  </si>
  <si>
    <t>Total Columns</t>
  </si>
  <si>
    <t>Observation Level</t>
  </si>
  <si>
    <t>Source</t>
  </si>
  <si>
    <t>Airbnb</t>
  </si>
  <si>
    <t>One Airbnb Listing</t>
  </si>
  <si>
    <t>Airbnb Listings</t>
  </si>
  <si>
    <t>Column Information</t>
  </si>
  <si>
    <t>number_reviews</t>
  </si>
  <si>
    <t>Column Name</t>
  </si>
  <si>
    <t>Data Type</t>
  </si>
  <si>
    <t>Text</t>
  </si>
  <si>
    <t>Decimal</t>
  </si>
  <si>
    <t>Number</t>
  </si>
  <si>
    <t>Date</t>
  </si>
  <si>
    <t>Summary Statistics</t>
  </si>
  <si>
    <t>Metric</t>
  </si>
  <si>
    <t>Formula</t>
  </si>
  <si>
    <t>Minimum Price</t>
  </si>
  <si>
    <t>Maximum Price</t>
  </si>
  <si>
    <t>Average Price</t>
  </si>
  <si>
    <t>Median Price</t>
  </si>
  <si>
    <t>Average Reviews</t>
  </si>
  <si>
    <t>Average Availability</t>
  </si>
  <si>
    <t xml:space="preserve">Standard </t>
  </si>
  <si>
    <t xml:space="preserve">Standard Deviation of Price </t>
  </si>
  <si>
    <t>Variance of Price</t>
  </si>
  <si>
    <t>Price Distribution</t>
  </si>
  <si>
    <t>Price Metric</t>
  </si>
  <si>
    <t>Q1</t>
  </si>
  <si>
    <t>Median</t>
  </si>
  <si>
    <t>Q3</t>
  </si>
  <si>
    <t>IQR</t>
  </si>
  <si>
    <t>Key Insights</t>
  </si>
  <si>
    <r>
      <t xml:space="preserve">The dataset contains </t>
    </r>
    <r>
      <rPr>
        <b/>
        <sz val="11"/>
        <color theme="1"/>
        <rFont val="Corbel"/>
        <family val="2"/>
        <scheme val="minor"/>
      </rPr>
      <t>458 Airbnb listings</t>
    </r>
    <r>
      <rPr>
        <sz val="11"/>
        <color theme="1"/>
        <rFont val="Corbel"/>
        <family val="2"/>
        <scheme val="minor"/>
      </rPr>
      <t xml:space="preserve"> with </t>
    </r>
    <r>
      <rPr>
        <b/>
        <sz val="11"/>
        <color theme="1"/>
        <rFont val="Corbel"/>
        <family val="2"/>
        <scheme val="minor"/>
      </rPr>
      <t>14 attributes</t>
    </r>
    <r>
      <rPr>
        <sz val="11"/>
        <color theme="1"/>
        <rFont val="Corbel"/>
        <family val="2"/>
        <scheme val="minor"/>
      </rPr>
      <t xml:space="preserve"> covering listing details, host information, pricing, reviews, and availability.</t>
    </r>
  </si>
  <si>
    <r>
      <t xml:space="preserve">Most variables are complete, while </t>
    </r>
    <r>
      <rPr>
        <b/>
        <sz val="11"/>
        <color theme="1"/>
        <rFont val="Corbel"/>
        <family val="2"/>
        <scheme val="minor"/>
      </rPr>
      <t>last_review</t>
    </r>
    <r>
      <rPr>
        <sz val="11"/>
        <color theme="1"/>
        <rFont val="Corbel"/>
        <family val="2"/>
        <scheme val="minor"/>
      </rPr>
      <t xml:space="preserve"> and </t>
    </r>
    <r>
      <rPr>
        <b/>
        <sz val="11"/>
        <color theme="1"/>
        <rFont val="Corbel"/>
        <family val="2"/>
        <scheme val="minor"/>
      </rPr>
      <t>reviews_per_month</t>
    </r>
    <r>
      <rPr>
        <sz val="11"/>
        <color theme="1"/>
        <rFont val="Corbel"/>
        <family val="2"/>
        <scheme val="minor"/>
      </rPr>
      <t xml:space="preserve"> contain a small number of missing values that have been documented.</t>
    </r>
  </si>
  <si>
    <r>
      <t xml:space="preserve">Listing prices range from </t>
    </r>
    <r>
      <rPr>
        <b/>
        <sz val="11"/>
        <color theme="1"/>
        <rFont val="Corbel"/>
        <family val="2"/>
        <scheme val="minor"/>
      </rPr>
      <t>13</t>
    </r>
    <r>
      <rPr>
        <sz val="11"/>
        <color theme="1"/>
        <rFont val="Corbel"/>
        <family val="2"/>
        <scheme val="minor"/>
      </rPr>
      <t xml:space="preserve"> to </t>
    </r>
    <r>
      <rPr>
        <b/>
        <sz val="11"/>
        <color theme="1"/>
        <rFont val="Corbel"/>
        <family val="2"/>
        <scheme val="minor"/>
      </rPr>
      <t>1701</t>
    </r>
    <r>
      <rPr>
        <sz val="11"/>
        <color theme="1"/>
        <rFont val="Corbel"/>
        <family val="2"/>
        <scheme val="minor"/>
      </rPr>
      <t xml:space="preserve">, with an </t>
    </r>
    <r>
      <rPr>
        <b/>
        <sz val="11"/>
        <color theme="1"/>
        <rFont val="Corbel"/>
        <family val="2"/>
        <scheme val="minor"/>
      </rPr>
      <t>average price of 177.18</t>
    </r>
    <r>
      <rPr>
        <sz val="11"/>
        <color theme="1"/>
        <rFont val="Corbel"/>
        <family val="2"/>
        <scheme val="minor"/>
      </rPr>
      <t xml:space="preserve"> and a </t>
    </r>
    <r>
      <rPr>
        <b/>
        <sz val="11"/>
        <color theme="1"/>
        <rFont val="Corbel"/>
        <family val="2"/>
        <scheme val="minor"/>
      </rPr>
      <t>median price of 145.50</t>
    </r>
    <r>
      <rPr>
        <sz val="11"/>
        <color theme="1"/>
        <rFont val="Corbel"/>
        <family val="2"/>
        <scheme val="minor"/>
      </rPr>
      <t>, indicating the presence of some higher-priced listings.</t>
    </r>
  </si>
  <si>
    <r>
      <t xml:space="preserve">The </t>
    </r>
    <r>
      <rPr>
        <b/>
        <sz val="11"/>
        <color theme="1"/>
        <rFont val="Corbel"/>
        <family val="2"/>
        <scheme val="minor"/>
      </rPr>
      <t>interquartile range (IQR) of 119.75</t>
    </r>
    <r>
      <rPr>
        <sz val="11"/>
        <color theme="1"/>
        <rFont val="Corbel"/>
        <family val="2"/>
        <scheme val="minor"/>
      </rPr>
      <t xml:space="preserve"> shows moderate variation in listing prices.</t>
    </r>
  </si>
  <si>
    <r>
      <t xml:space="preserve">The dataset has been cleaned and profiled and is suitable for </t>
    </r>
    <r>
      <rPr>
        <b/>
        <sz val="11"/>
        <color theme="1"/>
        <rFont val="Corbel"/>
        <family val="2"/>
        <scheme val="minor"/>
      </rPr>
      <t>Exploratory Data Analysis (EDA)</t>
    </r>
    <r>
      <rPr>
        <sz val="11"/>
        <color theme="1"/>
        <rFont val="Corbel"/>
        <family val="2"/>
        <scheme val="minor"/>
      </rPr>
      <t>.</t>
    </r>
  </si>
  <si>
    <t>Row Labels</t>
  </si>
  <si>
    <t>Grand Total</t>
  </si>
  <si>
    <t>Count of room_type</t>
  </si>
  <si>
    <t xml:space="preserve">                                                                      Which room type is most common among the Airbnb listings ?</t>
  </si>
  <si>
    <t>Average of price</t>
  </si>
  <si>
    <t xml:space="preserve">                                Which room type has the highest average listing price?</t>
  </si>
  <si>
    <t>Price Range</t>
  </si>
  <si>
    <t>0-100</t>
  </si>
  <si>
    <t>101-200</t>
  </si>
  <si>
    <t>201-300</t>
  </si>
  <si>
    <t>301-500</t>
  </si>
  <si>
    <t>500+</t>
  </si>
  <si>
    <t>Count of price</t>
  </si>
  <si>
    <t>Sum of price</t>
  </si>
  <si>
    <t>Column Labels</t>
  </si>
  <si>
    <t>Price Category</t>
  </si>
  <si>
    <t>Availability Status</t>
  </si>
  <si>
    <t>Review Level</t>
  </si>
  <si>
    <t>Minimum Stay Category</t>
  </si>
  <si>
    <t>Short Stay</t>
  </si>
  <si>
    <t>AIRBNB ANALYTICS DASHBOARD</t>
  </si>
  <si>
    <t>Total Listings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</si>
</sst>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
      <b/>
      <sz val="16"/>
      <color theme="1"/>
      <name val="Corbel"/>
      <family val="2"/>
      <scheme val="minor"/>
    </font>
    <font>
      <b/>
      <sz val="14"/>
      <color theme="1"/>
      <name val="Corbel"/>
      <family val="2"/>
      <scheme val="minor"/>
    </font>
    <font>
      <sz val="11"/>
      <color theme="3"/>
      <name val="Corbel"/>
      <family val="2"/>
      <scheme val="minor"/>
    </font>
    <font>
      <b/>
      <sz val="16"/>
      <color theme="3"/>
      <name val="Corbel"/>
      <family val="2"/>
      <scheme val="minor"/>
    </font>
    <font>
      <b/>
      <sz val="14"/>
      <color theme="9"/>
      <name val="Corbel"/>
      <family val="2"/>
      <scheme val="minor"/>
    </font>
    <font>
      <b/>
      <sz val="14"/>
      <color rgb="FFFFC000"/>
      <name val="Corbel"/>
      <family val="2"/>
      <scheme val="minor"/>
    </font>
    <font>
      <sz val="11"/>
      <color rgb="FFFFC000"/>
      <name val="Corbel"/>
      <family val="2"/>
      <scheme val="minor"/>
    </font>
    <font>
      <b/>
      <sz val="14"/>
      <color theme="5" tint="-0.249977111117893"/>
      <name val="Corbel"/>
      <family val="2"/>
      <scheme val="minor"/>
    </font>
    <font>
      <b/>
      <sz val="22"/>
      <color theme="0"/>
      <name val="Calibri"/>
      <family val="2"/>
    </font>
    <font>
      <sz val="8"/>
      <name val="Corbel"/>
      <family val="2"/>
      <scheme val="minor"/>
    </font>
    <font>
      <b/>
      <sz val="14"/>
      <color theme="1"/>
      <name val="Calibri"/>
      <family val="2"/>
    </font>
    <font>
      <b/>
      <sz val="24"/>
      <color theme="1"/>
      <name val="Calibri"/>
      <family val="2"/>
    </font>
    <font>
      <sz val="28"/>
      <color theme="1"/>
      <name val="Calibri"/>
      <family val="2"/>
    </font>
    <font>
      <b/>
      <sz val="24"/>
      <name val="Calibri"/>
      <family val="2"/>
    </font>
    <font>
      <b/>
      <sz val="14"/>
      <color rgb="FF05087B"/>
      <name val="Calibri"/>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C9E2FD"/>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14" fontId="0" fillId="0" borderId="0" xfId="0" applyNumberFormat="1"/>
    <xf numFmtId="0" fontId="0" fillId="0" borderId="0" xfId="0" applyAlignment="1">
      <alignment wrapText="1"/>
    </xf>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0" fontId="21" fillId="0" borderId="0" xfId="0" applyFont="1"/>
    <xf numFmtId="2" fontId="0" fillId="0" borderId="0" xfId="0" applyNumberFormat="1"/>
    <xf numFmtId="0" fontId="0" fillId="34" borderId="0" xfId="0" applyFill="1"/>
    <xf numFmtId="0" fontId="0" fillId="34" borderId="0" xfId="0" applyFill="1" applyAlignment="1">
      <alignment horizontal="left"/>
    </xf>
    <xf numFmtId="0" fontId="0" fillId="34" borderId="0" xfId="0" applyNumberFormat="1" applyFill="1"/>
    <xf numFmtId="0" fontId="20" fillId="34" borderId="0" xfId="0" applyFont="1" applyFill="1"/>
    <xf numFmtId="0" fontId="19" fillId="34" borderId="0" xfId="0" applyFont="1" applyFill="1"/>
    <xf numFmtId="0" fontId="22" fillId="34" borderId="0" xfId="0" applyFont="1" applyFill="1"/>
    <xf numFmtId="0" fontId="23" fillId="34" borderId="0" xfId="0" applyFont="1" applyFill="1"/>
    <xf numFmtId="0" fontId="25" fillId="34" borderId="0" xfId="0" applyFont="1" applyFill="1"/>
    <xf numFmtId="0" fontId="24" fillId="34" borderId="0" xfId="0" applyFont="1" applyFill="1"/>
    <xf numFmtId="0" fontId="16" fillId="34" borderId="0" xfId="0" applyFont="1" applyFill="1"/>
    <xf numFmtId="0" fontId="18" fillId="34" borderId="0" xfId="0" applyFont="1" applyFill="1"/>
    <xf numFmtId="0" fontId="0" fillId="35" borderId="0" xfId="0" applyFill="1"/>
    <xf numFmtId="0" fontId="0" fillId="0" borderId="0" xfId="0" applyAlignment="1"/>
    <xf numFmtId="0" fontId="0" fillId="0" borderId="0" xfId="0" applyAlignment="1">
      <alignment horizontal="center" vertical="center"/>
    </xf>
    <xf numFmtId="0" fontId="30" fillId="0" borderId="0" xfId="0" applyFont="1" applyAlignment="1">
      <alignment horizontal="center" vertical="center"/>
    </xf>
    <xf numFmtId="0" fontId="0" fillId="36" borderId="0" xfId="0" applyFill="1"/>
    <xf numFmtId="0" fontId="18" fillId="0" borderId="0" xfId="0" applyFont="1" applyFill="1"/>
    <xf numFmtId="0" fontId="0" fillId="0" borderId="0" xfId="0" applyFill="1"/>
    <xf numFmtId="0" fontId="16" fillId="0" borderId="0" xfId="0" applyFont="1" applyFill="1"/>
    <xf numFmtId="0" fontId="16" fillId="0" borderId="0" xfId="0" applyFont="1" applyFill="1" applyAlignment="1">
      <alignment horizontal="center" vertical="center" wrapText="1"/>
    </xf>
    <xf numFmtId="0" fontId="0" fillId="0" borderId="0" xfId="0" applyFill="1" applyAlignment="1">
      <alignment vertical="center" wrapText="1"/>
    </xf>
    <xf numFmtId="0" fontId="18" fillId="0" borderId="0" xfId="0" applyFont="1" applyFill="1" applyAlignment="1">
      <alignment vertical="center" wrapText="1"/>
    </xf>
    <xf numFmtId="0" fontId="16" fillId="0" borderId="0" xfId="0" applyFont="1" applyFill="1" applyAlignment="1">
      <alignment vertical="center" wrapText="1"/>
    </xf>
    <xf numFmtId="0" fontId="32" fillId="37" borderId="0" xfId="0" applyFont="1" applyFill="1" applyAlignment="1">
      <alignment horizontal="center" vertical="center"/>
    </xf>
    <xf numFmtId="0" fontId="28" fillId="37" borderId="0" xfId="0" applyFont="1" applyFill="1" applyAlignment="1">
      <alignment horizontal="center" vertical="center"/>
    </xf>
    <xf numFmtId="0" fontId="29" fillId="37" borderId="0" xfId="0" applyFont="1" applyFill="1" applyAlignment="1">
      <alignment horizontal="center" vertical="center"/>
    </xf>
    <xf numFmtId="0" fontId="26" fillId="33" borderId="0" xfId="0" applyFont="1" applyFill="1" applyAlignment="1">
      <alignment horizontal="center"/>
    </xf>
    <xf numFmtId="0" fontId="31" fillId="37"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0"/>
    </dxf>
    <dxf>
      <numFmt numFmtId="2" formatCode="0.00"/>
    </dxf>
    <dxf>
      <numFmt numFmtId="2" formatCode="0.00"/>
    </dxf>
    <dxf>
      <numFmt numFmtId="2" formatCode="0.00"/>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numFmt numFmtId="0" formatCode="General"/>
    </dxf>
  </dxfs>
  <tableStyles count="0" defaultTableStyle="TableStyleMedium2" defaultPivotStyle="PivotStyleLight16"/>
  <colors>
    <mruColors>
      <color rgb="FFF9B1A9"/>
      <color rgb="FF22235E"/>
      <color rgb="FF3399FF"/>
      <color rgb="FF903228"/>
      <color rgb="FFE3C5BF"/>
      <color rgb="FF965922"/>
      <color rgb="FF8B3A2D"/>
      <color rgb="FFAF2509"/>
      <color rgb="FFB67A02"/>
      <color rgb="FF0508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[Airbnb_Dashboard.xlsx]EDA - Univariate!PivotTable1</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Distribution of Airbnb Listings By Room Type</a:t>
            </a:r>
          </a:p>
        </c:rich>
      </c:tx>
      <c:layout>
        <c:manualLayout>
          <c:xMode val="edge"/>
          <c:yMode val="edge"/>
          <c:x val="0.13370122484689417"/>
          <c:y val="0.1008311461067366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2"/>
          </a:solidFill>
          <a:ln>
            <a:noFill/>
          </a:ln>
          <a:effectLst>
            <a:outerShdw blurRad="254000" sx="102000" sy="102000" algn="ctr" rotWithShape="0">
              <a:prstClr val="black">
                <a:alpha val="20000"/>
              </a:prstClr>
            </a:outerShdw>
          </a:effectLst>
        </c:spPr>
        <c:dLbl>
          <c:idx val="0"/>
          <c:layout>
            <c:manualLayout>
              <c:x val="-3.3254811898512683E-2"/>
              <c:y val="-0.1095348137662568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layout>
            <c:manualLayout>
              <c:x val="6.5687226596675391E-2"/>
              <c:y val="-3.411519065734768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2"/>
          </a:solidFill>
          <a:ln>
            <a:noFill/>
          </a:ln>
          <a:effectLst>
            <a:outerShdw blurRad="254000" sx="102000" sy="102000" algn="ctr" rotWithShape="0">
              <a:prstClr val="black">
                <a:alpha val="20000"/>
              </a:prstClr>
            </a:outerShdw>
          </a:effectLst>
        </c:spPr>
        <c:dLbl>
          <c:idx val="0"/>
          <c:layout>
            <c:manualLayout>
              <c:x val="4.2300962379702524E-2"/>
              <c:y val="7.720640537910289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2"/>
          </a:solidFill>
          <a:ln>
            <a:noFill/>
          </a:ln>
          <a:effectLst>
            <a:outerShdw blurRad="254000" sx="102000" sy="102000" algn="ctr" rotWithShape="0">
              <a:prstClr val="black">
                <a:alpha val="20000"/>
              </a:prstClr>
            </a:outerShdw>
          </a:effectLst>
        </c:spPr>
        <c:dLbl>
          <c:idx val="0"/>
          <c:layout>
            <c:manualLayout>
              <c:x val="1.0760061242344656E-2"/>
              <c:y val="8.690330000884716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pieChart>
        <c:varyColors val="1"/>
        <c:ser>
          <c:idx val="0"/>
          <c:order val="0"/>
          <c:tx>
            <c:strRef>
              <c:f>'EDA - Univariate'!$B$1</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C46-4551-8F6F-5B031B260507}"/>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BC46-4551-8F6F-5B031B260507}"/>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BC46-4551-8F6F-5B031B260507}"/>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C46-4551-8F6F-5B031B260507}"/>
              </c:ext>
            </c:extLst>
          </c:dPt>
          <c:dLbls>
            <c:dLbl>
              <c:idx val="0"/>
              <c:layout>
                <c:manualLayout>
                  <c:x val="-3.3254811898512683E-2"/>
                  <c:y val="-0.1095348137662568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C46-4551-8F6F-5B031B260507}"/>
                </c:ext>
              </c:extLst>
            </c:dLbl>
            <c:dLbl>
              <c:idx val="1"/>
              <c:layout>
                <c:manualLayout>
                  <c:x val="6.5687226596675391E-2"/>
                  <c:y val="-3.411519065734768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C46-4551-8F6F-5B031B260507}"/>
                </c:ext>
              </c:extLst>
            </c:dLbl>
            <c:dLbl>
              <c:idx val="2"/>
              <c:layout>
                <c:manualLayout>
                  <c:x val="4.2300962379702524E-2"/>
                  <c:y val="7.72064053791028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C46-4551-8F6F-5B031B260507}"/>
                </c:ext>
              </c:extLst>
            </c:dLbl>
            <c:dLbl>
              <c:idx val="3"/>
              <c:layout>
                <c:manualLayout>
                  <c:x val="1.0760061242344656E-2"/>
                  <c:y val="8.690330000884716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C46-4551-8F6F-5B031B26050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'EDA - Univariate'!$A$2:$A$6</c:f>
              <c:strCache>
                <c:ptCount val="4"/>
                <c:pt idx="0">
                  <c:v>Entire home/apt</c:v>
                </c:pt>
                <c:pt idx="1">
                  <c:v>Hotel room</c:v>
                </c:pt>
                <c:pt idx="2">
                  <c:v>Private room</c:v>
                </c:pt>
                <c:pt idx="3">
                  <c:v>Shared room</c:v>
                </c:pt>
              </c:strCache>
            </c:strRef>
          </c:cat>
          <c:val>
            <c:numRef>
              <c:f>'EDA - Univariate'!$B$2:$B$6</c:f>
              <c:numCache>
                <c:formatCode>General</c:formatCode>
                <c:ptCount val="4"/>
                <c:pt idx="0">
                  <c:v>322</c:v>
                </c:pt>
                <c:pt idx="1">
                  <c:v>8</c:v>
                </c:pt>
                <c:pt idx="2">
                  <c:v>127</c:v>
                </c:pt>
                <c:pt idx="3">
                  <c:v>1</c:v>
                </c:pt>
              </c:numCache>
            </c:numRef>
          </c:val>
          <c:extLst>
            <c:ext xmlns:c16="http://schemas.microsoft.com/office/drawing/2014/chart" uri="{C3380CC4-5D6E-409C-BE32-E72D297353CC}">
              <c16:uniqueId val="{00000000-BC46-4551-8F6F-5B031B260507}"/>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[Airbnb_Dashboard.xlsx]EDA - Univariate!PivotTable3</c:name>
    <c:fmtId val="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Distribution of Airbnb Listing Price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 Univariate'!$B$26</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'EDA - Univariate'!$A$27:$A$32</c:f>
              <c:strCache>
                <c:ptCount val="5"/>
                <c:pt idx="0">
                  <c:v>0-100</c:v>
                </c:pt>
                <c:pt idx="1">
                  <c:v>101-200</c:v>
                </c:pt>
                <c:pt idx="2">
                  <c:v>201-300</c:v>
                </c:pt>
                <c:pt idx="3">
                  <c:v>301-500</c:v>
                </c:pt>
                <c:pt idx="4">
                  <c:v>500+</c:v>
                </c:pt>
              </c:strCache>
            </c:strRef>
          </c:cat>
          <c:val>
            <c:numRef>
              <c:f>'EDA - Univariate'!$B$27:$B$32</c:f>
              <c:numCache>
                <c:formatCode>General</c:formatCode>
                <c:ptCount val="5"/>
                <c:pt idx="0">
                  <c:v>148</c:v>
                </c:pt>
                <c:pt idx="1">
                  <c:v>185</c:v>
                </c:pt>
                <c:pt idx="2">
                  <c:v>79</c:v>
                </c:pt>
                <c:pt idx="3">
                  <c:v>33</c:v>
                </c:pt>
                <c:pt idx="4">
                  <c:v>13</c:v>
                </c:pt>
              </c:numCache>
            </c:numRef>
          </c:val>
          <c:extLst>
            <c:ext xmlns:c16="http://schemas.microsoft.com/office/drawing/2014/chart" uri="{C3380CC4-5D6E-409C-BE32-E72D297353CC}">
              <c16:uniqueId val="{00000000-FC68-43EA-91AD-CCB96D49B8F0}"/>
            </c:ext>
          </c:extLst>
        </c:ser>
        <c:dLbls>
          <c:showLegendKey val="0"/>
          <c:showVal val="0"/>
          <c:showCatName val="0"/>
          <c:showSerName val="0"/>
          <c:showPercent val="0"/>
          <c:showBubbleSize val="0"/>
        </c:dLbls>
        <c:gapWidth val="355"/>
        <c:overlap val="-70"/>
        <c:axId val="540945551"/>
        <c:axId val="540938831"/>
      </c:barChart>
      <c:catAx>
        <c:axId val="54094555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Price Range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938831"/>
        <c:crosses val="autoZero"/>
        <c:auto val="1"/>
        <c:lblAlgn val="ctr"/>
        <c:lblOffset val="100"/>
        <c:noMultiLvlLbl val="0"/>
      </c:catAx>
      <c:valAx>
        <c:axId val="54093883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Count of Price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9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[Airbnb_Dashboard.xlsx]EDA-Bivariate!PivotTable2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Price By Room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'EDA-Bivariate'!$B$1</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'EDA-Bivariate'!$A$2:$A$6</c:f>
              <c:strCache>
                <c:ptCount val="4"/>
                <c:pt idx="0">
                  <c:v>Entire home/apt</c:v>
                </c:pt>
                <c:pt idx="1">
                  <c:v>Hotel room</c:v>
                </c:pt>
                <c:pt idx="2">
                  <c:v>Private room</c:v>
                </c:pt>
                <c:pt idx="3">
                  <c:v>Shared room</c:v>
                </c:pt>
              </c:strCache>
            </c:strRef>
          </c:cat>
          <c:val>
            <c:numRef>
              <c:f>'EDA-Bivariate'!$B$2:$B$6</c:f>
              <c:numCache>
                <c:formatCode>General</c:formatCode>
                <c:ptCount val="4"/>
                <c:pt idx="0">
                  <c:v>208.53726708074535</c:v>
                </c:pt>
                <c:pt idx="1">
                  <c:v>217</c:v>
                </c:pt>
                <c:pt idx="2">
                  <c:v>89.937007874015748</c:v>
                </c:pt>
                <c:pt idx="3">
                  <c:v>840</c:v>
                </c:pt>
              </c:numCache>
            </c:numRef>
          </c:val>
          <c:extLst>
            <c:ext xmlns:c16="http://schemas.microsoft.com/office/drawing/2014/chart" uri="{C3380CC4-5D6E-409C-BE32-E72D297353CC}">
              <c16:uniqueId val="{00000000-52AC-4F99-82E0-977D40A5CECF}"/>
            </c:ext>
          </c:extLst>
        </c:ser>
        <c:dLbls>
          <c:showLegendKey val="0"/>
          <c:showVal val="0"/>
          <c:showCatName val="0"/>
          <c:showSerName val="0"/>
          <c:showPercent val="0"/>
          <c:showBubbleSize val="0"/>
        </c:dLbls>
        <c:gapWidth val="100"/>
        <c:overlap val="-24"/>
        <c:axId val="836889152"/>
        <c:axId val="836891072"/>
      </c:barChart>
      <c:catAx>
        <c:axId val="8368891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Room Type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6891072"/>
        <c:crosses val="autoZero"/>
        <c:auto val="1"/>
        <c:lblAlgn val="ctr"/>
        <c:lblOffset val="100"/>
        <c:noMultiLvlLbl val="0"/>
      </c:catAx>
      <c:valAx>
        <c:axId val="8368910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Price</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688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[Airbnb_Dashboard.xlsx]EDA-Bivariate!PivotTable1</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Average Airbnb Listing Price by Neighbourhood</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'EDA-Bivariate'!$B$25</c:f>
              <c:strCache>
                <c:ptCount val="1"/>
                <c:pt idx="0">
                  <c:v>Total</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'EDA-Bivariate'!$A$26:$A$36</c:f>
              <c:strCache>
                <c:ptCount val="10"/>
                <c:pt idx="0">
                  <c:v>FIFTEENTH WARD</c:v>
                </c:pt>
                <c:pt idx="1">
                  <c:v>EIGHTH WARD</c:v>
                </c:pt>
                <c:pt idx="2">
                  <c:v>SEVENTH WARD</c:v>
                </c:pt>
                <c:pt idx="3">
                  <c:v>FIRST WARD</c:v>
                </c:pt>
                <c:pt idx="4">
                  <c:v>SECOND WARD</c:v>
                </c:pt>
                <c:pt idx="5">
                  <c:v>FOURTH WARD</c:v>
                </c:pt>
                <c:pt idx="6">
                  <c:v>FOURTEENTH WARD</c:v>
                </c:pt>
                <c:pt idx="7">
                  <c:v>THIRTEENTH WARD</c:v>
                </c:pt>
                <c:pt idx="8">
                  <c:v>TWELFTH WARD</c:v>
                </c:pt>
                <c:pt idx="9">
                  <c:v>SIXTH WARD</c:v>
                </c:pt>
              </c:strCache>
            </c:strRef>
          </c:cat>
          <c:val>
            <c:numRef>
              <c:f>'EDA-Bivariate'!$B$26:$B$36</c:f>
              <c:numCache>
                <c:formatCode>General</c:formatCode>
                <c:ptCount val="10"/>
                <c:pt idx="0">
                  <c:v>346.35714285714283</c:v>
                </c:pt>
                <c:pt idx="1">
                  <c:v>252.72727272727272</c:v>
                </c:pt>
                <c:pt idx="2">
                  <c:v>233.42857142857142</c:v>
                </c:pt>
                <c:pt idx="3">
                  <c:v>228.7</c:v>
                </c:pt>
                <c:pt idx="4">
                  <c:v>223.65</c:v>
                </c:pt>
                <c:pt idx="5">
                  <c:v>207.5</c:v>
                </c:pt>
                <c:pt idx="6">
                  <c:v>195.03225806451613</c:v>
                </c:pt>
                <c:pt idx="7">
                  <c:v>183.02564102564102</c:v>
                </c:pt>
                <c:pt idx="8">
                  <c:v>177.5</c:v>
                </c:pt>
                <c:pt idx="9">
                  <c:v>164.56880733944953</c:v>
                </c:pt>
              </c:numCache>
            </c:numRef>
          </c:val>
          <c:extLst>
            <c:ext xmlns:c16="http://schemas.microsoft.com/office/drawing/2014/chart" uri="{C3380CC4-5D6E-409C-BE32-E72D297353CC}">
              <c16:uniqueId val="{00000000-41C2-4B77-8878-D49081DF9191}"/>
            </c:ext>
          </c:extLst>
        </c:ser>
        <c:dLbls>
          <c:showLegendKey val="0"/>
          <c:showVal val="0"/>
          <c:showCatName val="0"/>
          <c:showSerName val="0"/>
          <c:showPercent val="0"/>
          <c:showBubbleSize val="0"/>
        </c:dLbls>
        <c:gapWidth val="164"/>
        <c:overlap val="-22"/>
        <c:axId val="1429808623"/>
        <c:axId val="1327227663"/>
      </c:barChart>
      <c:catAx>
        <c:axId val="142980862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Neighbourhood</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227663"/>
        <c:crosses val="autoZero"/>
        <c:auto val="1"/>
        <c:lblAlgn val="ctr"/>
        <c:lblOffset val="100"/>
        <c:noMultiLvlLbl val="0"/>
      </c:catAx>
      <c:valAx>
        <c:axId val="132722766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Average Price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80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[Airbnb_Dashboard.xlsx]EDA - Univariate!PivotTable3</c:name>
    <c:fmtId val="1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b="1">
                <a:solidFill>
                  <a:sysClr val="windowText" lastClr="000000"/>
                </a:solidFill>
              </a:rPr>
              <a:t>Price</a:t>
            </a:r>
            <a:r>
              <a:rPr lang="en-IN" b="1" baseline="0">
                <a:solidFill>
                  <a:sysClr val="windowText" lastClr="000000"/>
                </a:solidFill>
              </a:rPr>
              <a:t> Distribution</a:t>
            </a:r>
            <a:endParaRPr lang="en-IN" b="1">
              <a:solidFill>
                <a:sysClr val="windowText" lastClr="000000"/>
              </a:solidFill>
            </a:endParaRPr>
          </a:p>
        </c:rich>
      </c:tx>
      <c:layout>
        <c:manualLayout>
          <c:xMode val="edge"/>
          <c:yMode val="edge"/>
          <c:x val="0.10962897079725498"/>
          <c:y val="3.1905960322300447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9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 Univariate'!$B$26</c:f>
              <c:strCache>
                <c:ptCount val="1"/>
                <c:pt idx="0">
                  <c:v>Total</c:v>
                </c:pt>
              </c:strCache>
            </c:strRef>
          </c:tx>
          <c:spPr>
            <a:solidFill>
              <a:srgbClr val="3399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'EDA - Univariate'!$A$27:$A$32</c:f>
              <c:strCache>
                <c:ptCount val="5"/>
                <c:pt idx="0">
                  <c:v>0-100</c:v>
                </c:pt>
                <c:pt idx="1">
                  <c:v>101-200</c:v>
                </c:pt>
                <c:pt idx="2">
                  <c:v>201-300</c:v>
                </c:pt>
                <c:pt idx="3">
                  <c:v>301-500</c:v>
                </c:pt>
                <c:pt idx="4">
                  <c:v>500+</c:v>
                </c:pt>
              </c:strCache>
            </c:strRef>
          </c:cat>
          <c:val>
            <c:numRef>
              <c:f>'EDA - Univariate'!$B$27:$B$32</c:f>
              <c:numCache>
                <c:formatCode>General</c:formatCode>
                <c:ptCount val="5"/>
                <c:pt idx="0">
                  <c:v>148</c:v>
                </c:pt>
                <c:pt idx="1">
                  <c:v>185</c:v>
                </c:pt>
                <c:pt idx="2">
                  <c:v>79</c:v>
                </c:pt>
                <c:pt idx="3">
                  <c:v>33</c:v>
                </c:pt>
                <c:pt idx="4">
                  <c:v>13</c:v>
                </c:pt>
              </c:numCache>
            </c:numRef>
          </c:val>
          <c:extLst>
            <c:ext xmlns:c16="http://schemas.microsoft.com/office/drawing/2014/chart" uri="{C3380CC4-5D6E-409C-BE32-E72D297353CC}">
              <c16:uniqueId val="{00000000-EE53-4B67-A050-9C4432FAA621}"/>
            </c:ext>
          </c:extLst>
        </c:ser>
        <c:dLbls>
          <c:dLblPos val="outEnd"/>
          <c:showLegendKey val="0"/>
          <c:showVal val="1"/>
          <c:showCatName val="0"/>
          <c:showSerName val="0"/>
          <c:showPercent val="0"/>
          <c:showBubbleSize val="0"/>
        </c:dLbls>
        <c:gapWidth val="355"/>
        <c:overlap val="-70"/>
        <c:axId val="540945551"/>
        <c:axId val="540938831"/>
      </c:barChart>
      <c:catAx>
        <c:axId val="54094555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Price Range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938831"/>
        <c:crosses val="autoZero"/>
        <c:auto val="1"/>
        <c:lblAlgn val="ctr"/>
        <c:lblOffset val="100"/>
        <c:noMultiLvlLbl val="0"/>
      </c:catAx>
      <c:valAx>
        <c:axId val="54093883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Count of Price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9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[Airbnb_Dashboard.xlsx]EDA-Bivariate!PivotTable1</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a:solidFill>
                  <a:sysClr val="windowText" lastClr="000000"/>
                </a:solidFill>
              </a:rPr>
              <a:t>Average price by neighbourhood</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032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67004926523221"/>
          <c:y val="0.25999199292361941"/>
          <c:w val="0.72247526211629964"/>
          <c:h val="0.34925953872571514"/>
        </c:manualLayout>
      </c:layout>
      <c:barChart>
        <c:barDir val="col"/>
        <c:grouping val="clustered"/>
        <c:varyColors val="0"/>
        <c:ser>
          <c:idx val="0"/>
          <c:order val="0"/>
          <c:tx>
            <c:strRef>
              <c:f>'EDA-Bivariate'!$B$25</c:f>
              <c:strCache>
                <c:ptCount val="1"/>
                <c:pt idx="0">
                  <c:v>Total</c:v>
                </c:pt>
              </c:strCache>
            </c:strRef>
          </c:tx>
          <c:spPr>
            <a:solidFill>
              <a:srgbClr val="903228"/>
            </a:solidFill>
            <a:ln>
              <a:noFill/>
            </a:ln>
            <a:effectLst/>
          </c:spPr>
          <c:invertIfNegative val="0"/>
          <c:cat>
            <c:strRef>
              <c:f>'EDA-Bivariate'!$A$26:$A$36</c:f>
              <c:strCache>
                <c:ptCount val="10"/>
                <c:pt idx="0">
                  <c:v>FIFTEENTH WARD</c:v>
                </c:pt>
                <c:pt idx="1">
                  <c:v>EIGHTH WARD</c:v>
                </c:pt>
                <c:pt idx="2">
                  <c:v>SEVENTH WARD</c:v>
                </c:pt>
                <c:pt idx="3">
                  <c:v>FIRST WARD</c:v>
                </c:pt>
                <c:pt idx="4">
                  <c:v>SECOND WARD</c:v>
                </c:pt>
                <c:pt idx="5">
                  <c:v>FOURTH WARD</c:v>
                </c:pt>
                <c:pt idx="6">
                  <c:v>FOURTEENTH WARD</c:v>
                </c:pt>
                <c:pt idx="7">
                  <c:v>THIRTEENTH WARD</c:v>
                </c:pt>
                <c:pt idx="8">
                  <c:v>TWELFTH WARD</c:v>
                </c:pt>
                <c:pt idx="9">
                  <c:v>SIXTH WARD</c:v>
                </c:pt>
              </c:strCache>
            </c:strRef>
          </c:cat>
          <c:val>
            <c:numRef>
              <c:f>'EDA-Bivariate'!$B$26:$B$36</c:f>
              <c:numCache>
                <c:formatCode>General</c:formatCode>
                <c:ptCount val="10"/>
                <c:pt idx="0">
                  <c:v>346.35714285714283</c:v>
                </c:pt>
                <c:pt idx="1">
                  <c:v>252.72727272727272</c:v>
                </c:pt>
                <c:pt idx="2">
                  <c:v>233.42857142857142</c:v>
                </c:pt>
                <c:pt idx="3">
                  <c:v>228.7</c:v>
                </c:pt>
                <c:pt idx="4">
                  <c:v>223.65</c:v>
                </c:pt>
                <c:pt idx="5">
                  <c:v>207.5</c:v>
                </c:pt>
                <c:pt idx="6">
                  <c:v>195.03225806451613</c:v>
                </c:pt>
                <c:pt idx="7">
                  <c:v>183.02564102564102</c:v>
                </c:pt>
                <c:pt idx="8">
                  <c:v>177.5</c:v>
                </c:pt>
                <c:pt idx="9">
                  <c:v>164.56880733944953</c:v>
                </c:pt>
              </c:numCache>
            </c:numRef>
          </c:val>
          <c:extLst>
            <c:ext xmlns:c16="http://schemas.microsoft.com/office/drawing/2014/chart" uri="{C3380CC4-5D6E-409C-BE32-E72D297353CC}">
              <c16:uniqueId val="{00000000-425E-4411-9E20-14B9A5F6AAB3}"/>
            </c:ext>
          </c:extLst>
        </c:ser>
        <c:dLbls>
          <c:showLegendKey val="0"/>
          <c:showVal val="0"/>
          <c:showCatName val="0"/>
          <c:showSerName val="0"/>
          <c:showPercent val="0"/>
          <c:showBubbleSize val="0"/>
        </c:dLbls>
        <c:gapWidth val="219"/>
        <c:overlap val="-27"/>
        <c:axId val="1429808623"/>
        <c:axId val="1327227663"/>
      </c:barChart>
      <c:catAx>
        <c:axId val="1429808623"/>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Neighbourhood</a:t>
                </a:r>
              </a:p>
              <a:p>
                <a:pPr>
                  <a:defRPr>
                    <a:solidFill>
                      <a:sysClr val="windowText" lastClr="000000"/>
                    </a:solidFill>
                  </a:defRPr>
                </a:pP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27227663"/>
        <c:crosses val="autoZero"/>
        <c:auto val="1"/>
        <c:lblAlgn val="ctr"/>
        <c:lblOffset val="100"/>
        <c:noMultiLvlLbl val="0"/>
      </c:catAx>
      <c:valAx>
        <c:axId val="1327227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Average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2980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[Airbnb_Dashboard.xlsx]EDA-Bivariate!PivotTable2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ysClr val="windowText" lastClr="000000"/>
                </a:solidFill>
              </a:rPr>
              <a:t>Average Price By Room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'EDA-Bivariate'!$B$1</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'EDA-Bivariate'!$A$2:$A$6</c:f>
              <c:strCache>
                <c:ptCount val="4"/>
                <c:pt idx="0">
                  <c:v>Entire home/apt</c:v>
                </c:pt>
                <c:pt idx="1">
                  <c:v>Hotel room</c:v>
                </c:pt>
                <c:pt idx="2">
                  <c:v>Private room</c:v>
                </c:pt>
                <c:pt idx="3">
                  <c:v>Shared room</c:v>
                </c:pt>
              </c:strCache>
            </c:strRef>
          </c:cat>
          <c:val>
            <c:numRef>
              <c:f>'EDA-Bivariate'!$B$2:$B$6</c:f>
              <c:numCache>
                <c:formatCode>General</c:formatCode>
                <c:ptCount val="4"/>
                <c:pt idx="0">
                  <c:v>208.53726708074535</c:v>
                </c:pt>
                <c:pt idx="1">
                  <c:v>217</c:v>
                </c:pt>
                <c:pt idx="2">
                  <c:v>89.937007874015748</c:v>
                </c:pt>
                <c:pt idx="3">
                  <c:v>840</c:v>
                </c:pt>
              </c:numCache>
            </c:numRef>
          </c:val>
          <c:extLst>
            <c:ext xmlns:c16="http://schemas.microsoft.com/office/drawing/2014/chart" uri="{C3380CC4-5D6E-409C-BE32-E72D297353CC}">
              <c16:uniqueId val="{00000000-ED0A-4130-9DAC-D8709C4FBF9B}"/>
            </c:ext>
          </c:extLst>
        </c:ser>
        <c:dLbls>
          <c:showLegendKey val="0"/>
          <c:showVal val="0"/>
          <c:showCatName val="0"/>
          <c:showSerName val="0"/>
          <c:showPercent val="0"/>
          <c:showBubbleSize val="0"/>
        </c:dLbls>
        <c:gapWidth val="100"/>
        <c:overlap val="-24"/>
        <c:axId val="836889152"/>
        <c:axId val="836891072"/>
      </c:barChart>
      <c:catAx>
        <c:axId val="836889152"/>
        <c:scaling>
          <c:orientation val="minMax"/>
        </c:scaling>
        <c:delete val="0"/>
        <c:axPos val="b"/>
        <c:title>
          <c:tx>
            <c:rich>
              <a:bodyPr rot="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r>
                  <a:rPr lang="en-IN">
                    <a:solidFill>
                      <a:sysClr val="windowText" lastClr="000000"/>
                    </a:solidFill>
                  </a:rPr>
                  <a:t>Room Type</a:t>
                </a:r>
              </a:p>
            </c:rich>
          </c:tx>
          <c:overlay val="0"/>
          <c:spPr>
            <a:noFill/>
            <a:ln>
              <a:noFill/>
            </a:ln>
            <a:effectLst/>
          </c:spPr>
          <c:txPr>
            <a:bodyPr rot="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36891072"/>
        <c:crosses val="autoZero"/>
        <c:auto val="1"/>
        <c:lblAlgn val="ctr"/>
        <c:lblOffset val="100"/>
        <c:noMultiLvlLbl val="0"/>
      </c:catAx>
      <c:valAx>
        <c:axId val="8368910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r>
                  <a:rPr lang="en-IN">
                    <a:solidFill>
                      <a:sysClr val="windowText" lastClr="000000"/>
                    </a:solidFill>
                  </a:rPr>
                  <a:t>Average Price</a:t>
                </a:r>
              </a:p>
              <a:p>
                <a:pPr>
                  <a:defRPr>
                    <a:solidFill>
                      <a:sysClr val="windowText" lastClr="000000"/>
                    </a:solidFill>
                  </a:defRPr>
                </a:pPr>
                <a:endParaRPr lang="en-IN">
                  <a:solidFill>
                    <a:sysClr val="windowText" lastClr="000000"/>
                  </a:solidFill>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3688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498678</xdr:colOff>
      <xdr:row>4</xdr:row>
      <xdr:rowOff>30466</xdr:rowOff>
    </xdr:from>
    <xdr:to>
      <xdr:col>16</xdr:col>
      <xdr:colOff>141457</xdr:colOff>
      <xdr:row>19</xdr:row>
      <xdr:rowOff>65459</xdr:rowOff>
    </xdr:to>
    <xdr:graphicFrame macro="">
      <xdr:nvGraphicFramePr>
        <xdr:cNvPr id="4" name="Chart 3">
          <a:extLst>
            <a:ext uri="{FF2B5EF4-FFF2-40B4-BE49-F238E27FC236}">
              <a16:creationId xmlns:a16="http://schemas.microsoft.com/office/drawing/2014/main" id="{95B02EDF-902E-4E1B-ABA0-327D9C65FC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577850</xdr:colOff>
      <xdr:row>8</xdr:row>
      <xdr:rowOff>38100</xdr:rowOff>
    </xdr:from>
    <xdr:ext cx="184731" cy="264560"/>
    <xdr:sp macro="" textlink="">
      <xdr:nvSpPr>
        <xdr:cNvPr id="5" name="TextBox 4">
          <a:extLst>
            <a:ext uri="{FF2B5EF4-FFF2-40B4-BE49-F238E27FC236}">
              <a16:creationId xmlns:a16="http://schemas.microsoft.com/office/drawing/2014/main" id="{5426612E-D82A-B43C-5F71-BDDCF42EFFE5}"/>
            </a:ext>
          </a:extLst>
        </xdr:cNvPr>
        <xdr:cNvSpPr txBox="1"/>
      </xdr:nvSpPr>
      <xdr:spPr>
        <a:xfrm>
          <a:off x="4686300" y="156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12700</xdr:colOff>
      <xdr:row>7</xdr:row>
      <xdr:rowOff>12451</xdr:rowOff>
    </xdr:from>
    <xdr:to>
      <xdr:col>8</xdr:col>
      <xdr:colOff>120650</xdr:colOff>
      <xdr:row>14</xdr:row>
      <xdr:rowOff>94574</xdr:rowOff>
    </xdr:to>
    <xdr:sp macro="" textlink="">
      <xdr:nvSpPr>
        <xdr:cNvPr id="6" name="TextBox 5">
          <a:extLst>
            <a:ext uri="{FF2B5EF4-FFF2-40B4-BE49-F238E27FC236}">
              <a16:creationId xmlns:a16="http://schemas.microsoft.com/office/drawing/2014/main" id="{4F85D72A-C74B-293F-6A13-62AF2F893038}"/>
            </a:ext>
          </a:extLst>
        </xdr:cNvPr>
        <xdr:cNvSpPr txBox="1"/>
      </xdr:nvSpPr>
      <xdr:spPr>
        <a:xfrm>
          <a:off x="12700" y="1397291"/>
          <a:ext cx="6322844" cy="1439943"/>
        </a:xfrm>
        <a:prstGeom prst="rect">
          <a:avLst/>
        </a:prstGeom>
        <a:solidFill>
          <a:schemeClr val="bg1">
            <a:lumMod val="85000"/>
          </a:schemeClr>
        </a:solid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lang="en-IN" sz="1600" b="1"/>
            <a:t>Business Insights :-</a:t>
          </a:r>
        </a:p>
        <a:p>
          <a:r>
            <a:rPr lang="en-IN" sz="1400" b="1"/>
            <a:t>Entire home/apartment</a:t>
          </a:r>
          <a:r>
            <a:rPr lang="en-IN" sz="1400"/>
            <a:t> is the dominant room type, representing </a:t>
          </a:r>
          <a:r>
            <a:rPr lang="en-IN" sz="1400" b="1"/>
            <a:t>70.31%</a:t>
          </a:r>
          <a:r>
            <a:rPr lang="en-IN" sz="1400"/>
            <a:t> of all Airbnb listings (322 out of 458). </a:t>
          </a:r>
          <a:r>
            <a:rPr lang="en-IN" sz="1400" b="1"/>
            <a:t>Private rooms</a:t>
          </a:r>
          <a:r>
            <a:rPr lang="en-IN" sz="1400"/>
            <a:t> account for </a:t>
          </a:r>
          <a:r>
            <a:rPr lang="en-IN" sz="1400" b="1"/>
            <a:t>27.73%</a:t>
          </a:r>
          <a:r>
            <a:rPr lang="en-IN" sz="1400"/>
            <a:t>, while </a:t>
          </a:r>
          <a:r>
            <a:rPr lang="en-IN" sz="1400" b="1"/>
            <a:t>Hotel rooms</a:t>
          </a:r>
          <a:r>
            <a:rPr lang="en-IN" sz="1400"/>
            <a:t> and </a:t>
          </a:r>
          <a:r>
            <a:rPr lang="en-IN" sz="1400" b="1"/>
            <a:t>Shared rooms</a:t>
          </a:r>
          <a:r>
            <a:rPr lang="en-IN" sz="1400"/>
            <a:t> together represent less than </a:t>
          </a:r>
          <a:r>
            <a:rPr lang="en-IN" sz="1400" b="1"/>
            <a:t>2%</a:t>
          </a:r>
          <a:r>
            <a:rPr lang="en-IN" sz="1400"/>
            <a:t> of listings. This suggests that hosts on Airbnb primarily offer entire properties rather than shared accommodations.</a:t>
          </a:r>
          <a:endParaRPr lang="en-IN" sz="1400" b="1"/>
        </a:p>
      </xdr:txBody>
    </xdr:sp>
    <xdr:clientData/>
  </xdr:twoCellAnchor>
  <xdr:twoCellAnchor>
    <xdr:from>
      <xdr:col>0</xdr:col>
      <xdr:colOff>25400</xdr:colOff>
      <xdr:row>14</xdr:row>
      <xdr:rowOff>136961</xdr:rowOff>
    </xdr:from>
    <xdr:to>
      <xdr:col>8</xdr:col>
      <xdr:colOff>152400</xdr:colOff>
      <xdr:row>20</xdr:row>
      <xdr:rowOff>74707</xdr:rowOff>
    </xdr:to>
    <xdr:sp macro="" textlink="">
      <xdr:nvSpPr>
        <xdr:cNvPr id="7" name="TextBox 6">
          <a:extLst>
            <a:ext uri="{FF2B5EF4-FFF2-40B4-BE49-F238E27FC236}">
              <a16:creationId xmlns:a16="http://schemas.microsoft.com/office/drawing/2014/main" id="{B4998F60-E2E3-12A8-9E21-96D5C82363F3}"/>
            </a:ext>
          </a:extLst>
        </xdr:cNvPr>
        <xdr:cNvSpPr txBox="1"/>
      </xdr:nvSpPr>
      <xdr:spPr>
        <a:xfrm>
          <a:off x="25400" y="2876177"/>
          <a:ext cx="6564157" cy="1058334"/>
        </a:xfrm>
        <a:prstGeom prst="rect">
          <a:avLst/>
        </a:prstGeom>
        <a:solidFill>
          <a:schemeClr val="bg1">
            <a:lumMod val="85000"/>
          </a:schemeClr>
        </a:solid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lang="en-IN" sz="1600" b="1"/>
            <a:t>Business Recommendation:-</a:t>
          </a:r>
        </a:p>
        <a:p>
          <a:r>
            <a:rPr lang="en-IN" sz="1400"/>
            <a:t>Since </a:t>
          </a:r>
          <a:r>
            <a:rPr lang="en-IN" sz="1400" b="1"/>
            <a:t>Entire home/apartment</a:t>
          </a:r>
          <a:r>
            <a:rPr lang="en-IN" sz="1400"/>
            <a:t> listings dominate the market, Airbnb could focus on maintaining quality standards in this category while encouraging more diversity in room types to meet different traveler preferences.</a:t>
          </a:r>
        </a:p>
        <a:p>
          <a:endParaRPr lang="en-IN" sz="1100"/>
        </a:p>
      </xdr:txBody>
    </xdr:sp>
    <xdr:clientData/>
  </xdr:twoCellAnchor>
  <xdr:oneCellAnchor>
    <xdr:from>
      <xdr:col>9</xdr:col>
      <xdr:colOff>28222</xdr:colOff>
      <xdr:row>24</xdr:row>
      <xdr:rowOff>155222</xdr:rowOff>
    </xdr:from>
    <xdr:ext cx="184731" cy="264560"/>
    <xdr:sp macro="" textlink="">
      <xdr:nvSpPr>
        <xdr:cNvPr id="8" name="TextBox 7">
          <a:extLst>
            <a:ext uri="{FF2B5EF4-FFF2-40B4-BE49-F238E27FC236}">
              <a16:creationId xmlns:a16="http://schemas.microsoft.com/office/drawing/2014/main" id="{D66D2BAD-6977-5EFD-1659-4D1505EC86C6}"/>
            </a:ext>
          </a:extLst>
        </xdr:cNvPr>
        <xdr:cNvSpPr txBox="1"/>
      </xdr:nvSpPr>
      <xdr:spPr>
        <a:xfrm>
          <a:off x="7154333" y="50658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9</xdr:col>
      <xdr:colOff>12451</xdr:colOff>
      <xdr:row>22</xdr:row>
      <xdr:rowOff>37354</xdr:rowOff>
    </xdr:from>
    <xdr:to>
      <xdr:col>16</xdr:col>
      <xdr:colOff>37352</xdr:colOff>
      <xdr:row>24</xdr:row>
      <xdr:rowOff>74707</xdr:rowOff>
    </xdr:to>
    <xdr:sp macro="" textlink="">
      <xdr:nvSpPr>
        <xdr:cNvPr id="9" name="TextBox 8">
          <a:extLst>
            <a:ext uri="{FF2B5EF4-FFF2-40B4-BE49-F238E27FC236}">
              <a16:creationId xmlns:a16="http://schemas.microsoft.com/office/drawing/2014/main" id="{C739D6CC-B499-A371-2F98-1F211A7CB680}"/>
            </a:ext>
          </a:extLst>
        </xdr:cNvPr>
        <xdr:cNvSpPr txBox="1"/>
      </xdr:nvSpPr>
      <xdr:spPr>
        <a:xfrm>
          <a:off x="7109510" y="4644217"/>
          <a:ext cx="4644215" cy="4108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rPr>
            <a:t>How are Airbnb listing prices distributed ?</a:t>
          </a:r>
        </a:p>
      </xdr:txBody>
    </xdr:sp>
    <xdr:clientData/>
  </xdr:twoCellAnchor>
  <xdr:twoCellAnchor>
    <xdr:from>
      <xdr:col>8</xdr:col>
      <xdr:colOff>621302</xdr:colOff>
      <xdr:row>25</xdr:row>
      <xdr:rowOff>172321</xdr:rowOff>
    </xdr:from>
    <xdr:to>
      <xdr:col>16</xdr:col>
      <xdr:colOff>361077</xdr:colOff>
      <xdr:row>40</xdr:row>
      <xdr:rowOff>114051</xdr:rowOff>
    </xdr:to>
    <xdr:graphicFrame macro="">
      <xdr:nvGraphicFramePr>
        <xdr:cNvPr id="2" name="Chart 1">
          <a:extLst>
            <a:ext uri="{FF2B5EF4-FFF2-40B4-BE49-F238E27FC236}">
              <a16:creationId xmlns:a16="http://schemas.microsoft.com/office/drawing/2014/main" id="{A265AEC9-D2EF-640E-3D7B-5EE81FFA0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6755</xdr:colOff>
      <xdr:row>33</xdr:row>
      <xdr:rowOff>87818</xdr:rowOff>
    </xdr:from>
    <xdr:to>
      <xdr:col>8</xdr:col>
      <xdr:colOff>472873</xdr:colOff>
      <xdr:row>39</xdr:row>
      <xdr:rowOff>6756</xdr:rowOff>
    </xdr:to>
    <xdr:sp macro="" textlink="">
      <xdr:nvSpPr>
        <xdr:cNvPr id="3" name="TextBox 2">
          <a:extLst>
            <a:ext uri="{FF2B5EF4-FFF2-40B4-BE49-F238E27FC236}">
              <a16:creationId xmlns:a16="http://schemas.microsoft.com/office/drawing/2014/main" id="{7E47012D-293A-51D0-35BD-AABC2C4BD505}"/>
            </a:ext>
          </a:extLst>
        </xdr:cNvPr>
        <xdr:cNvSpPr txBox="1"/>
      </xdr:nvSpPr>
      <xdr:spPr>
        <a:xfrm>
          <a:off x="6755" y="6241914"/>
          <a:ext cx="6930958" cy="1013299"/>
        </a:xfrm>
        <a:prstGeom prst="rect">
          <a:avLst/>
        </a:prstGeom>
        <a:solidFill>
          <a:schemeClr val="accent1">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600" b="1"/>
            <a:t>Business Insights :-</a:t>
          </a:r>
        </a:p>
        <a:p>
          <a:r>
            <a:rPr lang="en-IN" sz="1400"/>
            <a:t>Most Airbnb listings (185) fall within the ₹101–₹200 price range, followed by 148 listings in the ₹0–₹100 range. Only 13 listings are priced above ₹500, indicating that the majority of accommodations are affordable to mid-priced.</a:t>
          </a:r>
          <a:endParaRPr lang="en-IN" sz="1400" b="1"/>
        </a:p>
      </xdr:txBody>
    </xdr:sp>
    <xdr:clientData/>
  </xdr:twoCellAnchor>
  <xdr:twoCellAnchor>
    <xdr:from>
      <xdr:col>0</xdr:col>
      <xdr:colOff>13511</xdr:colOff>
      <xdr:row>40</xdr:row>
      <xdr:rowOff>74310</xdr:rowOff>
    </xdr:from>
    <xdr:to>
      <xdr:col>8</xdr:col>
      <xdr:colOff>479628</xdr:colOff>
      <xdr:row>45</xdr:row>
      <xdr:rowOff>13512</xdr:rowOff>
    </xdr:to>
    <xdr:sp macro="" textlink="">
      <xdr:nvSpPr>
        <xdr:cNvPr id="10" name="TextBox 9">
          <a:extLst>
            <a:ext uri="{FF2B5EF4-FFF2-40B4-BE49-F238E27FC236}">
              <a16:creationId xmlns:a16="http://schemas.microsoft.com/office/drawing/2014/main" id="{05BD9A2F-286E-8E25-0D54-B92EC258A917}"/>
            </a:ext>
          </a:extLst>
        </xdr:cNvPr>
        <xdr:cNvSpPr txBox="1"/>
      </xdr:nvSpPr>
      <xdr:spPr>
        <a:xfrm>
          <a:off x="13511" y="7505161"/>
          <a:ext cx="6930957" cy="851170"/>
        </a:xfrm>
        <a:prstGeom prst="rect">
          <a:avLst/>
        </a:prstGeom>
        <a:solidFill>
          <a:schemeClr val="bg2">
            <a:lumMod val="60000"/>
            <a:lumOff val="4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600" b="1"/>
            <a:t>Recommendation :-</a:t>
          </a:r>
        </a:p>
        <a:p>
          <a:r>
            <a:rPr lang="en-IN" sz="1400"/>
            <a:t>Airbnb can focus on promoting affordable and mid-priced listings, as they represent the largest share of the market, while positioning premium listings for niche luxury travelers.</a:t>
          </a:r>
          <a:endParaRPr lang="en-IN" sz="1400" b="1"/>
        </a:p>
      </xdr:txBody>
    </xdr:sp>
    <xdr:clientData/>
  </xdr:twoCellAnchor>
  <xdr:twoCellAnchor>
    <xdr:from>
      <xdr:col>7</xdr:col>
      <xdr:colOff>432341</xdr:colOff>
      <xdr:row>1</xdr:row>
      <xdr:rowOff>168883</xdr:rowOff>
    </xdr:from>
    <xdr:to>
      <xdr:col>16</xdr:col>
      <xdr:colOff>621488</xdr:colOff>
      <xdr:row>3</xdr:row>
      <xdr:rowOff>81064</xdr:rowOff>
    </xdr:to>
    <xdr:sp macro="" textlink="">
      <xdr:nvSpPr>
        <xdr:cNvPr id="11" name="TextBox 10">
          <a:extLst>
            <a:ext uri="{FF2B5EF4-FFF2-40B4-BE49-F238E27FC236}">
              <a16:creationId xmlns:a16="http://schemas.microsoft.com/office/drawing/2014/main" id="{69F76DEF-6FC6-0CDE-EF9D-40588368EEAF}"/>
            </a:ext>
          </a:extLst>
        </xdr:cNvPr>
        <xdr:cNvSpPr txBox="1"/>
      </xdr:nvSpPr>
      <xdr:spPr>
        <a:xfrm>
          <a:off x="6235160" y="351277"/>
          <a:ext cx="6147339" cy="3310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rPr>
            <a:t>Which Room type is most</a:t>
          </a:r>
          <a:r>
            <a:rPr lang="en-IN" sz="1600" b="1" baseline="0">
              <a:solidFill>
                <a:schemeClr val="tx1"/>
              </a:solidFill>
            </a:rPr>
            <a:t> common among the Airbnb Listings ?</a:t>
          </a:r>
          <a:endParaRPr lang="en-IN" sz="16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266700</xdr:colOff>
      <xdr:row>5</xdr:row>
      <xdr:rowOff>34925</xdr:rowOff>
    </xdr:from>
    <xdr:to>
      <xdr:col>16</xdr:col>
      <xdr:colOff>571500</xdr:colOff>
      <xdr:row>20</xdr:row>
      <xdr:rowOff>15875</xdr:rowOff>
    </xdr:to>
    <xdr:graphicFrame macro="">
      <xdr:nvGraphicFramePr>
        <xdr:cNvPr id="3" name="Chart 2">
          <a:extLst>
            <a:ext uri="{FF2B5EF4-FFF2-40B4-BE49-F238E27FC236}">
              <a16:creationId xmlns:a16="http://schemas.microsoft.com/office/drawing/2014/main" id="{ED611E0B-3E02-625C-1852-A49F09B74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6</xdr:row>
      <xdr:rowOff>88021</xdr:rowOff>
    </xdr:from>
    <xdr:to>
      <xdr:col>9</xdr:col>
      <xdr:colOff>0</xdr:colOff>
      <xdr:row>12</xdr:row>
      <xdr:rowOff>127000</xdr:rowOff>
    </xdr:to>
    <xdr:sp macro="" textlink="">
      <xdr:nvSpPr>
        <xdr:cNvPr id="5" name="TextBox 4">
          <a:extLst>
            <a:ext uri="{FF2B5EF4-FFF2-40B4-BE49-F238E27FC236}">
              <a16:creationId xmlns:a16="http://schemas.microsoft.com/office/drawing/2014/main" id="{66612D3E-308A-7A75-AAEC-AF3D7AB2C0FF}"/>
            </a:ext>
          </a:extLst>
        </xdr:cNvPr>
        <xdr:cNvSpPr txBox="1"/>
      </xdr:nvSpPr>
      <xdr:spPr>
        <a:xfrm>
          <a:off x="38100" y="1291179"/>
          <a:ext cx="6652795" cy="1242137"/>
        </a:xfrm>
        <a:prstGeom prst="rect">
          <a:avLst/>
        </a:prstGeom>
        <a:solidFill>
          <a:schemeClr val="accent3">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r>
            <a:rPr lang="en-IN" sz="1600" b="1"/>
            <a:t>Business</a:t>
          </a:r>
          <a:r>
            <a:rPr lang="en-IN" sz="1600" b="1" baseline="0"/>
            <a:t> Insight:-</a:t>
          </a:r>
          <a:endParaRPr lang="en-IN" sz="1600" b="1"/>
        </a:p>
        <a:p>
          <a:pPr algn="l"/>
          <a:r>
            <a:rPr lang="en-IN" sz="1400"/>
            <a:t>Private rooms are the most affordable accommodation type, making them suitable for budget-conscious travelers. Entire home/apartment and hotel room listings are priced higher, reflecting greater privacy and additional amenities. The high average price for shared rooms should be interpreted cautiously because it is based on only one listing.</a:t>
          </a:r>
        </a:p>
      </xdr:txBody>
    </xdr:sp>
    <xdr:clientData/>
  </xdr:twoCellAnchor>
  <xdr:twoCellAnchor>
    <xdr:from>
      <xdr:col>0</xdr:col>
      <xdr:colOff>18861</xdr:colOff>
      <xdr:row>13</xdr:row>
      <xdr:rowOff>113632</xdr:rowOff>
    </xdr:from>
    <xdr:to>
      <xdr:col>9</xdr:col>
      <xdr:colOff>0</xdr:colOff>
      <xdr:row>18</xdr:row>
      <xdr:rowOff>180474</xdr:rowOff>
    </xdr:to>
    <xdr:sp macro="" textlink="">
      <xdr:nvSpPr>
        <xdr:cNvPr id="6" name="TextBox 5">
          <a:extLst>
            <a:ext uri="{FF2B5EF4-FFF2-40B4-BE49-F238E27FC236}">
              <a16:creationId xmlns:a16="http://schemas.microsoft.com/office/drawing/2014/main" id="{90838461-E95C-4DF9-71C4-271FD741A4A2}"/>
            </a:ext>
          </a:extLst>
        </xdr:cNvPr>
        <xdr:cNvSpPr txBox="1"/>
      </xdr:nvSpPr>
      <xdr:spPr>
        <a:xfrm>
          <a:off x="18861" y="2707106"/>
          <a:ext cx="6672034" cy="1002631"/>
        </a:xfrm>
        <a:prstGeom prst="rect">
          <a:avLst/>
        </a:prstGeom>
        <a:solidFill>
          <a:schemeClr val="accent3">
            <a:lumMod val="20000"/>
            <a:lumOff val="80000"/>
          </a:schemeClr>
        </a:solidFill>
        <a:ln>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600" b="1"/>
            <a:t>Recommendation:-</a:t>
          </a:r>
        </a:p>
        <a:p>
          <a:r>
            <a:rPr lang="en-IN" sz="1400"/>
            <a:t>Airbnb can promote </a:t>
          </a:r>
          <a:r>
            <a:rPr lang="en-IN" sz="1400" b="1"/>
            <a:t>private rooms</a:t>
          </a:r>
          <a:r>
            <a:rPr lang="en-IN" sz="1400"/>
            <a:t> to travelers looking for economical stays, while marketing </a:t>
          </a:r>
          <a:r>
            <a:rPr lang="en-IN" sz="1400" b="1"/>
            <a:t>entire homes</a:t>
          </a:r>
          <a:r>
            <a:rPr lang="en-IN" sz="1400"/>
            <a:t> and </a:t>
          </a:r>
          <a:r>
            <a:rPr lang="en-IN" sz="1400" b="1"/>
            <a:t>hotel rooms</a:t>
          </a:r>
          <a:r>
            <a:rPr lang="en-IN" sz="1400"/>
            <a:t> as premium options. Additional shared room listings would be needed before drawing reliable conclusions about that category.</a:t>
          </a:r>
          <a:endParaRPr lang="en-IN" sz="1400" b="1"/>
        </a:p>
      </xdr:txBody>
    </xdr:sp>
    <xdr:clientData/>
  </xdr:twoCellAnchor>
  <xdr:twoCellAnchor>
    <xdr:from>
      <xdr:col>8</xdr:col>
      <xdr:colOff>648368</xdr:colOff>
      <xdr:row>3</xdr:row>
      <xdr:rowOff>13368</xdr:rowOff>
    </xdr:from>
    <xdr:to>
      <xdr:col>16</xdr:col>
      <xdr:colOff>621631</xdr:colOff>
      <xdr:row>4</xdr:row>
      <xdr:rowOff>100263</xdr:rowOff>
    </xdr:to>
    <xdr:sp macro="" textlink="">
      <xdr:nvSpPr>
        <xdr:cNvPr id="2" name="TextBox 1">
          <a:extLst>
            <a:ext uri="{FF2B5EF4-FFF2-40B4-BE49-F238E27FC236}">
              <a16:creationId xmlns:a16="http://schemas.microsoft.com/office/drawing/2014/main" id="{D5ACAC52-01D3-2E76-E528-8485D6FC3CEE}"/>
            </a:ext>
          </a:extLst>
        </xdr:cNvPr>
        <xdr:cNvSpPr txBox="1"/>
      </xdr:nvSpPr>
      <xdr:spPr>
        <a:xfrm>
          <a:off x="6677526" y="574842"/>
          <a:ext cx="5267158" cy="3542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Which room type has the</a:t>
          </a:r>
          <a:r>
            <a:rPr lang="en-IN" sz="1600" b="1" baseline="0"/>
            <a:t> highest average listing price ?</a:t>
          </a:r>
          <a:endParaRPr lang="en-IN" sz="1600" b="1"/>
        </a:p>
      </xdr:txBody>
    </xdr:sp>
    <xdr:clientData/>
  </xdr:twoCellAnchor>
  <xdr:twoCellAnchor>
    <xdr:from>
      <xdr:col>8</xdr:col>
      <xdr:colOff>655053</xdr:colOff>
      <xdr:row>23</xdr:row>
      <xdr:rowOff>46788</xdr:rowOff>
    </xdr:from>
    <xdr:to>
      <xdr:col>17</xdr:col>
      <xdr:colOff>13369</xdr:colOff>
      <xdr:row>27</xdr:row>
      <xdr:rowOff>40104</xdr:rowOff>
    </xdr:to>
    <xdr:sp macro="" textlink="">
      <xdr:nvSpPr>
        <xdr:cNvPr id="4" name="TextBox 3">
          <a:extLst>
            <a:ext uri="{FF2B5EF4-FFF2-40B4-BE49-F238E27FC236}">
              <a16:creationId xmlns:a16="http://schemas.microsoft.com/office/drawing/2014/main" id="{CE000FAB-58B4-27CA-F06A-68F7FC130B39}"/>
            </a:ext>
          </a:extLst>
        </xdr:cNvPr>
        <xdr:cNvSpPr txBox="1"/>
      </xdr:nvSpPr>
      <xdr:spPr>
        <a:xfrm>
          <a:off x="6684211" y="4511841"/>
          <a:ext cx="5313947" cy="7419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Which neighbourhood has the highest average Airbnb listing price?</a:t>
          </a:r>
        </a:p>
      </xdr:txBody>
    </xdr:sp>
    <xdr:clientData/>
  </xdr:twoCellAnchor>
  <xdr:twoCellAnchor>
    <xdr:from>
      <xdr:col>9</xdr:col>
      <xdr:colOff>237290</xdr:colOff>
      <xdr:row>28</xdr:row>
      <xdr:rowOff>12031</xdr:rowOff>
    </xdr:from>
    <xdr:to>
      <xdr:col>16</xdr:col>
      <xdr:colOff>554790</xdr:colOff>
      <xdr:row>42</xdr:row>
      <xdr:rowOff>135020</xdr:rowOff>
    </xdr:to>
    <xdr:graphicFrame macro="">
      <xdr:nvGraphicFramePr>
        <xdr:cNvPr id="7" name="Chart 6">
          <a:extLst>
            <a:ext uri="{FF2B5EF4-FFF2-40B4-BE49-F238E27FC236}">
              <a16:creationId xmlns:a16="http://schemas.microsoft.com/office/drawing/2014/main" id="{53B4A230-9656-1617-49AE-94EC05579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13369</xdr:colOff>
      <xdr:row>24</xdr:row>
      <xdr:rowOff>160421</xdr:rowOff>
    </xdr:from>
    <xdr:to>
      <xdr:col>8</xdr:col>
      <xdr:colOff>614947</xdr:colOff>
      <xdr:row>33</xdr:row>
      <xdr:rowOff>120315</xdr:rowOff>
    </xdr:to>
    <xdr:sp macro="" textlink="">
      <xdr:nvSpPr>
        <xdr:cNvPr id="8" name="TextBox 7">
          <a:extLst>
            <a:ext uri="{FF2B5EF4-FFF2-40B4-BE49-F238E27FC236}">
              <a16:creationId xmlns:a16="http://schemas.microsoft.com/office/drawing/2014/main" id="{B354585F-96A5-C991-8154-60950D0BC846}"/>
            </a:ext>
          </a:extLst>
        </xdr:cNvPr>
        <xdr:cNvSpPr txBox="1"/>
      </xdr:nvSpPr>
      <xdr:spPr>
        <a:xfrm>
          <a:off x="3074737" y="4812632"/>
          <a:ext cx="3910263" cy="1644315"/>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r>
            <a:rPr lang="en-IN" sz="1600" b="1"/>
            <a:t>Business</a:t>
          </a:r>
          <a:r>
            <a:rPr lang="en-IN" sz="1600" b="1" baseline="0"/>
            <a:t> Insight :-</a:t>
          </a:r>
        </a:p>
        <a:p>
          <a:r>
            <a:rPr lang="en-IN" sz="1400"/>
            <a:t>FIFTEENTH WARD has the highest average listing price (₹346.36), followed by EIGHTH WARD (₹252.73) and SEVENTH WARD (₹233.43). ELEVENTH WARD has the lowest average price (₹89.27), indicating significant price variation across neighbourhoods.</a:t>
          </a:r>
          <a:endParaRPr lang="en-IN" sz="1400" b="1" baseline="0"/>
        </a:p>
        <a:p>
          <a:endParaRPr lang="en-IN" sz="1100"/>
        </a:p>
      </xdr:txBody>
    </xdr:sp>
    <xdr:clientData/>
  </xdr:twoCellAnchor>
  <xdr:twoCellAnchor>
    <xdr:from>
      <xdr:col>2</xdr:col>
      <xdr:colOff>655052</xdr:colOff>
      <xdr:row>35</xdr:row>
      <xdr:rowOff>26736</xdr:rowOff>
    </xdr:from>
    <xdr:to>
      <xdr:col>8</xdr:col>
      <xdr:colOff>635000</xdr:colOff>
      <xdr:row>42</xdr:row>
      <xdr:rowOff>66841</xdr:rowOff>
    </xdr:to>
    <xdr:sp macro="" textlink="">
      <xdr:nvSpPr>
        <xdr:cNvPr id="9" name="TextBox 8">
          <a:extLst>
            <a:ext uri="{FF2B5EF4-FFF2-40B4-BE49-F238E27FC236}">
              <a16:creationId xmlns:a16="http://schemas.microsoft.com/office/drawing/2014/main" id="{E99E241D-40D9-FEBD-3C39-CEC4D6DA62D6}"/>
            </a:ext>
          </a:extLst>
        </xdr:cNvPr>
        <xdr:cNvSpPr txBox="1"/>
      </xdr:nvSpPr>
      <xdr:spPr>
        <a:xfrm>
          <a:off x="3054684" y="6737683"/>
          <a:ext cx="3950369" cy="1350211"/>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r>
            <a:rPr lang="en-IN" sz="1600" b="1"/>
            <a:t>Recommendation:-</a:t>
          </a:r>
        </a:p>
        <a:p>
          <a:r>
            <a:rPr lang="en-IN" sz="1400"/>
            <a:t>Airbnb can position high-priced neighbourhoods as premium destinations while promoting lower-priced neighbourhoods as affordable options for budget-conscious travelers.</a:t>
          </a:r>
          <a:endParaRPr lang="en-IN" sz="14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311150</xdr:colOff>
      <xdr:row>1</xdr:row>
      <xdr:rowOff>63500</xdr:rowOff>
    </xdr:from>
    <xdr:to>
      <xdr:col>14</xdr:col>
      <xdr:colOff>450850</xdr:colOff>
      <xdr:row>4</xdr:row>
      <xdr:rowOff>133350</xdr:rowOff>
    </xdr:to>
    <xdr:sp macro="" textlink="">
      <xdr:nvSpPr>
        <xdr:cNvPr id="2" name="TextBox 1">
          <a:extLst>
            <a:ext uri="{FF2B5EF4-FFF2-40B4-BE49-F238E27FC236}">
              <a16:creationId xmlns:a16="http://schemas.microsoft.com/office/drawing/2014/main" id="{0BB033C4-5BB7-ADF4-4CB6-2652A8C6CA1B}"/>
            </a:ext>
          </a:extLst>
        </xdr:cNvPr>
        <xdr:cNvSpPr txBox="1"/>
      </xdr:nvSpPr>
      <xdr:spPr>
        <a:xfrm>
          <a:off x="5937250" y="247650"/>
          <a:ext cx="5422900" cy="622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How do room type and neighbourhood together influence the average Airbnb listing price?</a:t>
          </a:r>
        </a:p>
      </xdr:txBody>
    </xdr:sp>
    <xdr:clientData/>
  </xdr:twoCellAnchor>
  <xdr:twoCellAnchor>
    <xdr:from>
      <xdr:col>0</xdr:col>
      <xdr:colOff>38100</xdr:colOff>
      <xdr:row>0</xdr:row>
      <xdr:rowOff>31750</xdr:rowOff>
    </xdr:from>
    <xdr:to>
      <xdr:col>6</xdr:col>
      <xdr:colOff>101600</xdr:colOff>
      <xdr:row>1</xdr:row>
      <xdr:rowOff>177800</xdr:rowOff>
    </xdr:to>
    <xdr:sp macro="" textlink="">
      <xdr:nvSpPr>
        <xdr:cNvPr id="3" name="TextBox 2">
          <a:extLst>
            <a:ext uri="{FF2B5EF4-FFF2-40B4-BE49-F238E27FC236}">
              <a16:creationId xmlns:a16="http://schemas.microsoft.com/office/drawing/2014/main" id="{109CF4E2-1430-505A-FADA-40BE51E25A25}"/>
            </a:ext>
          </a:extLst>
        </xdr:cNvPr>
        <xdr:cNvSpPr txBox="1"/>
      </xdr:nvSpPr>
      <xdr:spPr>
        <a:xfrm>
          <a:off x="38100" y="31750"/>
          <a:ext cx="5689600" cy="33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Average Airbnb Listing Price by Neighbourhood and Room Type</a:t>
          </a:r>
        </a:p>
      </xdr:txBody>
    </xdr:sp>
    <xdr:clientData/>
  </xdr:twoCellAnchor>
  <xdr:twoCellAnchor>
    <xdr:from>
      <xdr:col>6</xdr:col>
      <xdr:colOff>298450</xdr:colOff>
      <xdr:row>6</xdr:row>
      <xdr:rowOff>25400</xdr:rowOff>
    </xdr:from>
    <xdr:to>
      <xdr:col>14</xdr:col>
      <xdr:colOff>527050</xdr:colOff>
      <xdr:row>13</xdr:row>
      <xdr:rowOff>165100</xdr:rowOff>
    </xdr:to>
    <xdr:sp macro="" textlink="">
      <xdr:nvSpPr>
        <xdr:cNvPr id="4" name="TextBox 3">
          <a:extLst>
            <a:ext uri="{FF2B5EF4-FFF2-40B4-BE49-F238E27FC236}">
              <a16:creationId xmlns:a16="http://schemas.microsoft.com/office/drawing/2014/main" id="{7E7CB33E-1865-6C3C-51D2-95C4C3483B2F}"/>
            </a:ext>
          </a:extLst>
        </xdr:cNvPr>
        <xdr:cNvSpPr txBox="1"/>
      </xdr:nvSpPr>
      <xdr:spPr>
        <a:xfrm>
          <a:off x="5924550" y="1130300"/>
          <a:ext cx="5511800" cy="1428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Business Insights :-</a:t>
          </a:r>
        </a:p>
        <a:p>
          <a:r>
            <a:rPr lang="en-IN" sz="1400"/>
            <a:t>Entire home/apartment listings generally have higher average prices across most neighbourhoods, while private rooms are more affordable. Premium neighbourhoods such as FIFTEENTH WARD also show higher average prices, indicating that both location and room type influence pricing.</a:t>
          </a:r>
          <a:endParaRPr lang="en-IN" sz="1400" b="1"/>
        </a:p>
      </xdr:txBody>
    </xdr:sp>
    <xdr:clientData/>
  </xdr:twoCellAnchor>
  <xdr:twoCellAnchor>
    <xdr:from>
      <xdr:col>6</xdr:col>
      <xdr:colOff>330200</xdr:colOff>
      <xdr:row>15</xdr:row>
      <xdr:rowOff>133350</xdr:rowOff>
    </xdr:from>
    <xdr:to>
      <xdr:col>14</xdr:col>
      <xdr:colOff>533400</xdr:colOff>
      <xdr:row>21</xdr:row>
      <xdr:rowOff>25400</xdr:rowOff>
    </xdr:to>
    <xdr:sp macro="" textlink="">
      <xdr:nvSpPr>
        <xdr:cNvPr id="5" name="TextBox 4">
          <a:extLst>
            <a:ext uri="{FF2B5EF4-FFF2-40B4-BE49-F238E27FC236}">
              <a16:creationId xmlns:a16="http://schemas.microsoft.com/office/drawing/2014/main" id="{69F779ED-8B49-978F-7705-F65FC5FBBF49}"/>
            </a:ext>
          </a:extLst>
        </xdr:cNvPr>
        <xdr:cNvSpPr txBox="1"/>
      </xdr:nvSpPr>
      <xdr:spPr>
        <a:xfrm>
          <a:off x="5956300" y="2895600"/>
          <a:ext cx="5486400" cy="99695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Business Recommendation</a:t>
          </a:r>
          <a:r>
            <a:rPr lang="en-IN" sz="1600" b="1" baseline="0"/>
            <a:t> :-</a:t>
          </a:r>
        </a:p>
        <a:p>
          <a:r>
            <a:rPr lang="en-IN" sz="1400"/>
            <a:t>Airbnb can market entire homes in premium neighbourhoods to luxury travelers while promoting private rooms in other neighbourhoods as budget-friendly accommodation options.</a:t>
          </a:r>
          <a:endParaRPr lang="en-IN" sz="14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69454</xdr:colOff>
      <xdr:row>6</xdr:row>
      <xdr:rowOff>12700</xdr:rowOff>
    </xdr:from>
    <xdr:to>
      <xdr:col>4</xdr:col>
      <xdr:colOff>482601</xdr:colOff>
      <xdr:row>16</xdr:row>
      <xdr:rowOff>39688</xdr:rowOff>
    </xdr:to>
    <xdr:graphicFrame macro="">
      <xdr:nvGraphicFramePr>
        <xdr:cNvPr id="2" name="Chart 1">
          <a:extLst>
            <a:ext uri="{FF2B5EF4-FFF2-40B4-BE49-F238E27FC236}">
              <a16:creationId xmlns:a16="http://schemas.microsoft.com/office/drawing/2014/main" id="{08A15E2F-14C6-457E-BEDB-B73EE7BE0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222251</xdr:colOff>
      <xdr:row>17</xdr:row>
      <xdr:rowOff>69849</xdr:rowOff>
    </xdr:from>
    <xdr:to>
      <xdr:col>10</xdr:col>
      <xdr:colOff>52191</xdr:colOff>
      <xdr:row>30</xdr:row>
      <xdr:rowOff>81188</xdr:rowOff>
    </xdr:to>
    <xdr:graphicFrame macro="">
      <xdr:nvGraphicFramePr>
        <xdr:cNvPr id="3" name="Chart 2">
          <a:extLst>
            <a:ext uri="{FF2B5EF4-FFF2-40B4-BE49-F238E27FC236}">
              <a16:creationId xmlns:a16="http://schemas.microsoft.com/office/drawing/2014/main" id="{C4020E46-5746-460B-A3D6-D4ADF229F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488951</xdr:colOff>
      <xdr:row>6</xdr:row>
      <xdr:rowOff>12699</xdr:rowOff>
    </xdr:from>
    <xdr:to>
      <xdr:col>8</xdr:col>
      <xdr:colOff>8700</xdr:colOff>
      <xdr:row>16</xdr:row>
      <xdr:rowOff>88900</xdr:rowOff>
    </xdr:to>
    <xdr:graphicFrame macro="">
      <xdr:nvGraphicFramePr>
        <xdr:cNvPr id="4" name="Chart 3">
          <a:extLst>
            <a:ext uri="{FF2B5EF4-FFF2-40B4-BE49-F238E27FC236}">
              <a16:creationId xmlns:a16="http://schemas.microsoft.com/office/drawing/2014/main" id="{10962536-E72C-4978-995E-8C13526EE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6</xdr:row>
      <xdr:rowOff>20638</xdr:rowOff>
    </xdr:from>
    <xdr:to>
      <xdr:col>1</xdr:col>
      <xdr:colOff>78583</xdr:colOff>
      <xdr:row>11</xdr:row>
      <xdr:rowOff>131763</xdr:rowOff>
    </xdr:to>
    <mc:AlternateContent xmlns:mc="http://schemas.openxmlformats.org/markup-compatibility/2006" xmlns:a14="http://schemas.microsoft.com/office/drawing/2010/main">
      <mc:Choice Requires="a14">
        <xdr:graphicFrame macro="">
          <xdr:nvGraphicFramePr>
            <xdr:cNvPr id="5" name="Price Range">
              <a:extLst>
                <a:ext uri="{FF2B5EF4-FFF2-40B4-BE49-F238E27FC236}">
                  <a16:creationId xmlns:a16="http://schemas.microsoft.com/office/drawing/2014/main" id="{D0A3D52B-196B-E034-702E-713A21B68872}"/>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mlns="">
        <xdr:sp macro="" textlink="">
          <xdr:nvSpPr>
            <xdr:cNvPr id="0" name=""/>
            <xdr:cNvSpPr>
              <a:spLocks noTextEdit="1"/>
            </xdr:cNvSpPr>
          </xdr:nvSpPr>
          <xdr:spPr>
            <a:xfrm>
              <a:off x="1" y="1957926"/>
              <a:ext cx="1413158" cy="1725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877943</xdr:colOff>
      <xdr:row>11</xdr:row>
      <xdr:rowOff>125163</xdr:rowOff>
    </xdr:from>
    <xdr:to>
      <xdr:col>10</xdr:col>
      <xdr:colOff>109593</xdr:colOff>
      <xdr:row>16</xdr:row>
      <xdr:rowOff>196851</xdr:rowOff>
    </xdr:to>
    <mc:AlternateContent xmlns:mc="http://schemas.openxmlformats.org/markup-compatibility/2006" xmlns:a14="http://schemas.microsoft.com/office/drawing/2010/main">
      <mc:Choice Requires="a14">
        <xdr:graphicFrame macro="">
          <xdr:nvGraphicFramePr>
            <xdr:cNvPr id="7" name="neighbourhood">
              <a:extLst>
                <a:ext uri="{FF2B5EF4-FFF2-40B4-BE49-F238E27FC236}">
                  <a16:creationId xmlns:a16="http://schemas.microsoft.com/office/drawing/2014/main" id="{09A928F2-1B3D-C07A-2728-37CECF5C1D88}"/>
                </a:ext>
              </a:extLst>
            </xdr:cNvPr>
            <xdr:cNvGraphicFramePr/>
          </xdr:nvGraphicFramePr>
          <xdr:xfrm>
            <a:off x="0" y="0"/>
            <a:ext cx="0" cy="0"/>
          </xdr:xfrm>
          <a:graphic>
            <a:graphicData uri="http://schemas.microsoft.com/office/drawing/2010/slicer">
              <sle:slicer xmlns:sle="http://schemas.microsoft.com/office/drawing/2010/slicer" name="neighbourhood"/>
            </a:graphicData>
          </a:graphic>
        </xdr:graphicFrame>
      </mc:Choice>
      <mc:Fallback xmlns="">
        <xdr:sp macro="" textlink="">
          <xdr:nvSpPr>
            <xdr:cNvPr id="0" name=""/>
            <xdr:cNvSpPr>
              <a:spLocks noTextEdit="1"/>
            </xdr:cNvSpPr>
          </xdr:nvSpPr>
          <xdr:spPr>
            <a:xfrm>
              <a:off x="9445062" y="3676858"/>
              <a:ext cx="1599446" cy="1686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48865</xdr:colOff>
      <xdr:row>5</xdr:row>
      <xdr:rowOff>212269</xdr:rowOff>
    </xdr:from>
    <xdr:to>
      <xdr:col>9</xdr:col>
      <xdr:colOff>182672</xdr:colOff>
      <xdr:row>10</xdr:row>
      <xdr:rowOff>173973</xdr:rowOff>
    </xdr:to>
    <mc:AlternateContent xmlns:mc="http://schemas.openxmlformats.org/markup-compatibility/2006" xmlns:a14="http://schemas.microsoft.com/office/drawing/2010/main">
      <mc:Choice Requires="a14">
        <xdr:graphicFrame macro="">
          <xdr:nvGraphicFramePr>
            <xdr:cNvPr id="8" name="room_type">
              <a:extLst>
                <a:ext uri="{FF2B5EF4-FFF2-40B4-BE49-F238E27FC236}">
                  <a16:creationId xmlns:a16="http://schemas.microsoft.com/office/drawing/2014/main" id="{DEB1BF19-0202-2719-7813-814ABB864B3F}"/>
                </a:ext>
              </a:extLst>
            </xdr:cNvPr>
            <xdr:cNvGraphicFramePr/>
          </xdr:nvGraphicFramePr>
          <xdr:xfrm>
            <a:off x="0" y="0"/>
            <a:ext cx="0" cy="0"/>
          </xdr:xfrm>
          <a:graphic>
            <a:graphicData uri="http://schemas.microsoft.com/office/drawing/2010/slicer">
              <sle:slicer xmlns:sle="http://schemas.microsoft.com/office/drawing/2010/slicer" name="room_type"/>
            </a:graphicData>
          </a:graphic>
        </xdr:graphicFrame>
      </mc:Choice>
      <mc:Fallback xmlns="">
        <xdr:sp macro="" textlink="">
          <xdr:nvSpPr>
            <xdr:cNvPr id="0" name=""/>
            <xdr:cNvSpPr>
              <a:spLocks noTextEdit="1"/>
            </xdr:cNvSpPr>
          </xdr:nvSpPr>
          <xdr:spPr>
            <a:xfrm>
              <a:off x="8615984" y="1826676"/>
              <a:ext cx="1317705" cy="1576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ulkit" refreshedDate="46220.763780324072" createdVersion="8" refreshedVersion="8" minRefreshableVersion="3" recordCount="458" xr:uid="{36229E15-ED02-4BE9-B73E-9DE4E591B85F}">
  <cacheSource type="worksheet">
    <worksheetSource name="airbnb_data"/>
  </cacheSource>
  <cacheFields count="15">
    <cacheField name="name" numFmtId="0">
      <sharedItems/>
    </cacheField>
    <cacheField name="host_name" numFmtId="0">
      <sharedItems/>
    </cacheField>
    <cacheField name="neighbourhood" numFmtId="0">
      <sharedItems count="15">
        <s v="THIRD WARD"/>
        <s v="SIXTH WARD"/>
        <s v="SECOND WARD"/>
        <s v="FOURTEENTH WARD"/>
        <s v="FIFTEENTH WARD"/>
        <s v="ELEVENTH WARD"/>
        <s v="TENTH WARD"/>
        <s v="NINTH WARD"/>
        <s v="FIFTH WARD"/>
        <s v="SEVENTH WARD"/>
        <s v="THIRTEENTH WARD"/>
        <s v="EIGHTH WARD"/>
        <s v="FOURTH WARD"/>
        <s v="FIRST WARD"/>
        <s v="TWELFTH WARD"/>
      </sharedItems>
    </cacheField>
    <cacheField name="latitude" numFmtId="0">
      <sharedItems containsSemiMixedTypes="0" containsString="0" containsNumber="1" minValue="42.630659999999999" maxValue="42.6823168458398"/>
    </cacheField>
    <cacheField name="longitude" numFmtId="0">
      <sharedItems containsSemiMixedTypes="0" containsString="0" containsNumber="1" minValue="-73.827529999999996" maxValue="-73.738249999999994"/>
    </cacheField>
    <cacheField name="room_type" numFmtId="0">
      <sharedItems count="4">
        <s v="Entire home/apt"/>
        <s v="Private room"/>
        <s v="Shared room"/>
        <s v="Hotel room"/>
      </sharedItems>
    </cacheField>
    <cacheField name="price" numFmtId="0">
      <sharedItems containsSemiMixedTypes="0" containsString="0" containsNumber="1" containsInteger="1" minValue="13" maxValue="1701" count="228">
        <n v="80"/>
        <n v="211"/>
        <n v="97"/>
        <n v="160"/>
        <n v="86"/>
        <n v="58"/>
        <n v="277"/>
        <n v="63"/>
        <n v="64"/>
        <n v="313"/>
        <n v="52"/>
        <n v="394"/>
        <n v="69"/>
        <n v="92"/>
        <n v="61"/>
        <n v="412"/>
        <n v="388"/>
        <n v="246"/>
        <n v="194"/>
        <n v="129"/>
        <n v="51"/>
        <n v="132"/>
        <n v="846"/>
        <n v="114"/>
        <n v="49"/>
        <n v="103"/>
        <n v="115"/>
        <n v="137"/>
        <n v="100"/>
        <n v="343"/>
        <n v="142"/>
        <n v="119"/>
        <n v="195"/>
        <n v="186"/>
        <n v="203"/>
        <n v="188"/>
        <n v="145"/>
        <n v="75"/>
        <n v="230"/>
        <n v="303"/>
        <n v="177"/>
        <n v="78"/>
        <n v="294"/>
        <n v="293"/>
        <n v="301"/>
        <n v="371"/>
        <n v="140"/>
        <n v="159"/>
        <n v="174"/>
        <n v="168"/>
        <n v="166"/>
        <n v="217"/>
        <n v="234"/>
        <n v="331"/>
        <n v="134"/>
        <n v="180"/>
        <n v="122"/>
        <n v="150"/>
        <n v="198"/>
        <n v="218"/>
        <n v="265"/>
        <n v="276"/>
        <n v="1041"/>
        <n v="149"/>
        <n v="127"/>
        <n v="215"/>
        <n v="189"/>
        <n v="207"/>
        <n v="96"/>
        <n v="112"/>
        <n v="126"/>
        <n v="162"/>
        <n v="196"/>
        <n v="118"/>
        <n v="268"/>
        <n v="819"/>
        <n v="154"/>
        <n v="315"/>
        <n v="269"/>
        <n v="701"/>
        <n v="146"/>
        <n v="183"/>
        <n v="173"/>
        <n v="144"/>
        <n v="95"/>
        <n v="108"/>
        <n v="124"/>
        <n v="152"/>
        <n v="1701"/>
        <n v="208"/>
        <n v="94"/>
        <n v="1267"/>
        <n v="216"/>
        <n v="214"/>
        <n v="176"/>
        <n v="84"/>
        <n v="436"/>
        <n v="290"/>
        <n v="232"/>
        <n v="228"/>
        <n v="155"/>
        <n v="30"/>
        <n v="403"/>
        <n v="147"/>
        <n v="55"/>
        <n v="104"/>
        <n v="249"/>
        <n v="91"/>
        <n v="81"/>
        <n v="87"/>
        <n v="292"/>
        <n v="840"/>
        <n v="167"/>
        <n v="190"/>
        <n v="179"/>
        <n v="110"/>
        <n v="153"/>
        <n v="13"/>
        <n v="236"/>
        <n v="363"/>
        <n v="587"/>
        <n v="266"/>
        <n v="50"/>
        <n v="307"/>
        <n v="257"/>
        <n v="46"/>
        <n v="300"/>
        <n v="73"/>
        <n v="107"/>
        <n v="172"/>
        <n v="280"/>
        <n v="241"/>
        <n v="431"/>
        <n v="76"/>
        <n v="72"/>
        <n v="287"/>
        <n v="184"/>
        <n v="90"/>
        <n v="209"/>
        <n v="109"/>
        <n v="625"/>
        <n v="161"/>
        <n v="258"/>
        <n v="355"/>
        <n v="1265"/>
        <n v="35"/>
        <n v="199"/>
        <n v="164"/>
        <n v="123"/>
        <n v="171"/>
        <n v="93"/>
        <n v="531"/>
        <n v="82"/>
        <n v="88"/>
        <n v="131"/>
        <n v="148"/>
        <n v="181"/>
        <n v="125"/>
        <n v="210"/>
        <n v="314"/>
        <n v="219"/>
        <n v="116"/>
        <n v="206"/>
        <n v="38"/>
        <n v="182"/>
        <n v="157"/>
        <n v="128"/>
        <n v="235"/>
        <n v="400"/>
        <n v="200"/>
        <n v="187"/>
        <n v="47"/>
        <n v="33"/>
        <n v="71"/>
        <n v="253"/>
        <n v="193"/>
        <n v="77"/>
        <n v="263"/>
        <n v="85"/>
        <n v="36"/>
        <n v="289"/>
        <n v="66"/>
        <n v="245"/>
        <n v="229"/>
        <n v="158"/>
        <n v="349"/>
        <n v="354"/>
        <n v="273"/>
        <n v="165"/>
        <n v="220"/>
        <n v="297"/>
        <n v="56"/>
        <n v="57"/>
        <n v="120"/>
        <n v="540"/>
        <n v="259"/>
        <n v="117"/>
        <n v="242"/>
        <n v="44"/>
        <n v="83"/>
        <n v="309"/>
        <n v="133"/>
        <n v="139"/>
        <n v="43"/>
        <n v="485"/>
        <n v="295"/>
        <n v="67"/>
        <n v="99"/>
        <n v="213"/>
        <n v="465"/>
        <n v="102"/>
        <n v="143"/>
        <n v="106"/>
        <n v="185"/>
        <n v="89"/>
        <n v="105"/>
        <n v="539"/>
        <n v="204"/>
        <n v="226"/>
        <n v="288"/>
        <n v="320"/>
        <n v="225"/>
        <n v="248"/>
        <n v="372"/>
        <n v="442"/>
        <n v="45"/>
        <n v="42"/>
        <n v="224"/>
      </sharedItems>
    </cacheField>
    <cacheField name="minimum_nights" numFmtId="0">
      <sharedItems containsSemiMixedTypes="0" containsString="0" containsNumber="1" containsInteger="1" minValue="1" maxValue="90"/>
    </cacheField>
    <cacheField name="number_of_reviews" numFmtId="0">
      <sharedItems containsSemiMixedTypes="0" containsString="0" containsNumber="1" containsInteger="1" minValue="0" maxValue="996"/>
    </cacheField>
    <cacheField name="last_review" numFmtId="0">
      <sharedItems containsNonDate="0" containsDate="1" containsString="0" containsBlank="1" minDate="2022-08-17T00:00:00" maxDate="2026-06-17T00:00:00"/>
    </cacheField>
    <cacheField name="reviews_per_month" numFmtId="0">
      <sharedItems containsSemiMixedTypes="0" containsString="0" containsNumber="1" minValue="0" maxValue="10.43"/>
    </cacheField>
    <cacheField name="calculated_host_listings_count" numFmtId="0">
      <sharedItems containsSemiMixedTypes="0" containsString="0" containsNumber="1" containsInteger="1" minValue="1" maxValue="29"/>
    </cacheField>
    <cacheField name="availability_365" numFmtId="0">
      <sharedItems containsSemiMixedTypes="0" containsString="0" containsNumber="1" containsInteger="1" minValue="1" maxValue="365"/>
    </cacheField>
    <cacheField name="number_of_reviews_ltm" numFmtId="0">
      <sharedItems containsSemiMixedTypes="0" containsString="0" containsNumber="1" containsInteger="1" minValue="0" maxValue="116"/>
    </cacheField>
    <cacheField name="Price Range" numFmtId="0">
      <sharedItems count="5">
        <s v="0-100"/>
        <s v="201-300"/>
        <s v="101-200"/>
        <s v="301-500"/>
        <s v="500+"/>
      </sharedItems>
    </cacheField>
  </cacheFields>
  <extLst>
    <ext xmlns:x14="http://schemas.microsoft.com/office/spreadsheetml/2009/9/main" uri="{725AE2AE-9491-48be-B2B4-4EB974FC3084}">
      <x14:pivotCacheDefinition pivotCacheId="1228334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8">
  <r>
    <s v="Luxury 2 bedroom apartment"/>
    <s v="Kenneth"/>
    <x v="0"/>
    <n v="42.657890000000002"/>
    <n v="-73.753699999999995"/>
    <x v="0"/>
    <x v="0"/>
    <n v="28"/>
    <n v="9"/>
    <d v="2022-08-17T00:00:00"/>
    <n v="0.06"/>
    <n v="1"/>
    <n v="77"/>
    <n v="0"/>
    <x v="0"/>
  </r>
  <r>
    <s v="Restored Precinct in Center Sq. w/Parking"/>
    <s v="Ming"/>
    <x v="1"/>
    <n v="42.65222"/>
    <n v="-73.767240000000001"/>
    <x v="0"/>
    <x v="1"/>
    <n v="1"/>
    <n v="317"/>
    <d v="2026-01-25T00:00:00"/>
    <n v="2.2000000000000002"/>
    <n v="7"/>
    <n v="328"/>
    <n v="8"/>
    <x v="1"/>
  </r>
  <r>
    <s v="Large studio apt  by Capital Center &amp; ESP@"/>
    <s v="Gregg"/>
    <x v="2"/>
    <n v="42.646149999999999"/>
    <n v="-73.759659999999997"/>
    <x v="0"/>
    <x v="2"/>
    <n v="1"/>
    <n v="406"/>
    <d v="2026-06-12T00:00:00"/>
    <n v="3"/>
    <n v="2"/>
    <n v="25"/>
    <n v="37"/>
    <x v="0"/>
  </r>
  <r>
    <s v="Center Sq. Loft in Converted Precinct w/ Parking"/>
    <s v="Ming"/>
    <x v="1"/>
    <n v="42.65222"/>
    <n v="-73.767240000000001"/>
    <x v="0"/>
    <x v="3"/>
    <n v="1"/>
    <n v="332"/>
    <d v="2025-06-30T00:00:00"/>
    <n v="2.4700000000000002"/>
    <n v="7"/>
    <n v="359"/>
    <n v="1"/>
    <x v="2"/>
  </r>
  <r>
    <s v="Spacious suite with full bath by Capital  Center"/>
    <s v="Gregg"/>
    <x v="2"/>
    <n v="42.64734"/>
    <n v="-73.758510000000001"/>
    <x v="1"/>
    <x v="4"/>
    <n v="1"/>
    <n v="469"/>
    <d v="2026-06-09T00:00:00"/>
    <n v="3.71"/>
    <n v="2"/>
    <n v="235"/>
    <n v="47"/>
    <x v="0"/>
  </r>
  <r>
    <s v="Alb hospital area studio bath wifi. (Red)"/>
    <s v="Elizabeth"/>
    <x v="3"/>
    <n v="42.660780000000003"/>
    <n v="-73.805530000000005"/>
    <x v="1"/>
    <x v="5"/>
    <n v="1"/>
    <n v="906"/>
    <d v="2026-06-01T00:00:00"/>
    <n v="7.18"/>
    <n v="2"/>
    <n v="154"/>
    <n v="103"/>
    <x v="0"/>
  </r>
  <r>
    <s v="/Fire Place Bungalow\ 1917 SUNY Eagle 6Beds 2Baths"/>
    <s v="Peter"/>
    <x v="4"/>
    <n v="42.675669999999997"/>
    <n v="-73.824380000000005"/>
    <x v="0"/>
    <x v="6"/>
    <n v="1"/>
    <n v="227"/>
    <d v="2026-05-24T00:00:00"/>
    <n v="1.86"/>
    <n v="8"/>
    <n v="357"/>
    <n v="36"/>
    <x v="1"/>
  </r>
  <r>
    <s v="$55twin($30 foreign student)FreeBF Noa/c no smoke"/>
    <s v="Abdullah"/>
    <x v="5"/>
    <n v="42.675829999999998"/>
    <n v="-73.782970000000006"/>
    <x v="1"/>
    <x v="7"/>
    <n v="15"/>
    <n v="231"/>
    <d v="2024-02-29T00:00:00"/>
    <n v="1.89"/>
    <n v="2"/>
    <n v="364"/>
    <n v="0"/>
    <x v="0"/>
  </r>
  <r>
    <s v="Private Room in the Hearth of the Albany"/>
    <s v="Musab"/>
    <x v="1"/>
    <n v="42.651539999999997"/>
    <n v="-73.76867"/>
    <x v="1"/>
    <x v="8"/>
    <n v="5"/>
    <n v="29"/>
    <d v="2025-08-09T00:00:00"/>
    <n v="0.41"/>
    <n v="2"/>
    <n v="263"/>
    <n v="1"/>
    <x v="0"/>
  </r>
  <r>
    <s v="Pristine Cape Cod on the Creek - 4 Large Bedrooms!"/>
    <s v="Akhilesh"/>
    <x v="4"/>
    <n v="42.669719999999998"/>
    <n v="-73.827529999999996"/>
    <x v="0"/>
    <x v="9"/>
    <n v="2"/>
    <n v="200"/>
    <d v="2026-06-14T00:00:00"/>
    <n v="1.65"/>
    <n v="1"/>
    <n v="319"/>
    <n v="11"/>
    <x v="3"/>
  </r>
  <r>
    <s v="Unique Modern Room, Perfect Location Albany"/>
    <s v="Chad"/>
    <x v="6"/>
    <n v="42.657260000000001"/>
    <n v="-73.78219"/>
    <x v="1"/>
    <x v="10"/>
    <n v="18"/>
    <n v="55"/>
    <d v="2026-02-28T00:00:00"/>
    <n v="0.46"/>
    <n v="2"/>
    <n v="276"/>
    <n v="1"/>
    <x v="0"/>
  </r>
  <r>
    <s v="/Miller Colonial\ 1946 SUNY Eagle Hill 5Bed 2Baths"/>
    <s v="Peter"/>
    <x v="4"/>
    <n v="42.673512000000002"/>
    <n v="-73.819678999999994"/>
    <x v="0"/>
    <x v="11"/>
    <n v="1"/>
    <n v="143"/>
    <d v="2026-05-22T00:00:00"/>
    <n v="1.22"/>
    <n v="8"/>
    <n v="305"/>
    <n v="30"/>
    <x v="3"/>
  </r>
  <r>
    <s v="Albany Medical/Downtown Albany/Colleges/ ROOM H"/>
    <s v="Share"/>
    <x v="7"/>
    <n v="42.656509999999997"/>
    <n v="-73.778869999999998"/>
    <x v="1"/>
    <x v="12"/>
    <n v="2"/>
    <n v="55"/>
    <d v="2025-11-20T00:00:00"/>
    <n v="0.5"/>
    <n v="2"/>
    <n v="97"/>
    <n v="7"/>
    <x v="0"/>
  </r>
  <r>
    <s v="On a little park in Albany pine hills. (Blue)"/>
    <s v="Elizabeth"/>
    <x v="3"/>
    <n v="42.66075"/>
    <n v="-73.806049999999999"/>
    <x v="1"/>
    <x v="13"/>
    <n v="1"/>
    <n v="604"/>
    <d v="2026-06-01T00:00:00"/>
    <n v="8.1999999999999993"/>
    <n v="2"/>
    <n v="333"/>
    <n v="108"/>
    <x v="0"/>
  </r>
  <r>
    <s v="$53($25 foreign student)Twin, noa/cno_x000a_Smoke freeBF"/>
    <s v="Abdullah"/>
    <x v="8"/>
    <n v="42.676139999999997"/>
    <n v="-73.781689999999998"/>
    <x v="1"/>
    <x v="14"/>
    <n v="15"/>
    <n v="132"/>
    <d v="2024-08-01T00:00:00"/>
    <n v="1.18"/>
    <n v="2"/>
    <n v="364"/>
    <n v="0"/>
    <x v="0"/>
  </r>
  <r>
    <s v="Cozy Modern Room Perfect Location Albany"/>
    <s v="Chad"/>
    <x v="6"/>
    <n v="42.6584"/>
    <n v="-73.783090000000001"/>
    <x v="1"/>
    <x v="10"/>
    <n v="1"/>
    <n v="56"/>
    <d v="2024-11-02T00:00:00"/>
    <n v="0.5"/>
    <n v="2"/>
    <n v="332"/>
    <n v="0"/>
    <x v="0"/>
  </r>
  <r>
    <s v="/Sauna Ranch 1961\ SUNY Eagle Hill 4Beds 1Bath"/>
    <s v="Peter"/>
    <x v="4"/>
    <n v="42.676369999999999"/>
    <n v="-73.823949999999996"/>
    <x v="0"/>
    <x v="15"/>
    <n v="2"/>
    <n v="58"/>
    <d v="2024-08-13T00:00:00"/>
    <n v="0.57999999999999996"/>
    <n v="8"/>
    <n v="350"/>
    <n v="0"/>
    <x v="3"/>
  </r>
  <r>
    <s v="Charming 1 Bedroom in a Historic Residential Home"/>
    <s v="Ed"/>
    <x v="7"/>
    <n v="42.653120000000001"/>
    <n v="-73.781610000000001"/>
    <x v="1"/>
    <x v="13"/>
    <n v="1"/>
    <n v="92"/>
    <d v="2026-04-10T00:00:00"/>
    <n v="0.99"/>
    <n v="3"/>
    <n v="228"/>
    <n v="10"/>
    <x v="0"/>
  </r>
  <r>
    <s v="5BedroomHome InAlbany 9YRSuperHost"/>
    <s v="Michael And Flerida"/>
    <x v="3"/>
    <n v="42.658459999999998"/>
    <n v="-73.802009999999996"/>
    <x v="0"/>
    <x v="16"/>
    <n v="4"/>
    <n v="132"/>
    <d v="2026-05-27T00:00:00"/>
    <n v="1.26"/>
    <n v="1"/>
    <n v="334"/>
    <n v="15"/>
    <x v="3"/>
  </r>
  <r>
    <s v="/Red Warhol Ranch\ 1959 SUNY Eagle Hill 4beds1Bath"/>
    <s v="Peter"/>
    <x v="4"/>
    <n v="42.674999999999997"/>
    <n v="-73.823819999999998"/>
    <x v="0"/>
    <x v="17"/>
    <n v="1"/>
    <n v="102"/>
    <d v="2026-03-08T00:00:00"/>
    <n v="0.97"/>
    <n v="8"/>
    <n v="324"/>
    <n v="21"/>
    <x v="1"/>
  </r>
  <r>
    <s v="Garden Apartment, on the Park, close to Capital."/>
    <s v="James"/>
    <x v="9"/>
    <n v="42.649389999999997"/>
    <n v="-73.768649999999994"/>
    <x v="0"/>
    <x v="18"/>
    <n v="2"/>
    <n v="132"/>
    <d v="2025-10-20T00:00:00"/>
    <n v="1.32"/>
    <n v="2"/>
    <n v="355"/>
    <n v="1"/>
    <x v="2"/>
  </r>
  <r>
    <s v="The Metropolitan,3rd floor suite"/>
    <s v="Bela"/>
    <x v="7"/>
    <n v="42.655320000000003"/>
    <n v="-73.782439999999994"/>
    <x v="0"/>
    <x v="19"/>
    <n v="2"/>
    <n v="54"/>
    <d v="2026-05-28T00:00:00"/>
    <n v="0.51"/>
    <n v="8"/>
    <n v="258"/>
    <n v="6"/>
    <x v="2"/>
  </r>
  <r>
    <s v="Cozy bedroom with (2) walk-in closets"/>
    <s v="Chad"/>
    <x v="10"/>
    <n v="42.665649999999999"/>
    <n v="-73.779750000000007"/>
    <x v="1"/>
    <x v="20"/>
    <n v="18"/>
    <n v="49"/>
    <d v="2026-01-09T00:00:00"/>
    <n v="0.51"/>
    <n v="3"/>
    <n v="359"/>
    <n v="3"/>
    <x v="0"/>
  </r>
  <r>
    <s v="The Blair Suite"/>
    <s v="Bela"/>
    <x v="7"/>
    <n v="42.65372"/>
    <n v="-73.782439999999994"/>
    <x v="0"/>
    <x v="21"/>
    <n v="2"/>
    <n v="140"/>
    <d v="2026-02-28T00:00:00"/>
    <n v="1.34"/>
    <n v="8"/>
    <n v="259"/>
    <n v="8"/>
    <x v="2"/>
  </r>
  <r>
    <s v="/zBig Blue Ranch\ 1962 SUNY Eagle Hill 4Beds 2Bath"/>
    <s v="Peter"/>
    <x v="4"/>
    <n v="42.675469999999997"/>
    <n v="-73.824020000000004"/>
    <x v="0"/>
    <x v="22"/>
    <n v="4"/>
    <n v="9"/>
    <d v="2025-08-05T00:00:00"/>
    <n v="0.09"/>
    <n v="8"/>
    <n v="364"/>
    <n v="1"/>
    <x v="4"/>
  </r>
  <r>
    <s v="NEW LISTING! Modern, completely updated, LOCATION!"/>
    <s v="Allen"/>
    <x v="6"/>
    <n v="42.660449999999997"/>
    <n v="-73.778329999999997"/>
    <x v="0"/>
    <x v="23"/>
    <n v="3"/>
    <n v="191"/>
    <d v="2026-05-13T00:00:00"/>
    <n v="1.83"/>
    <n v="9"/>
    <n v="236"/>
    <n v="10"/>
    <x v="2"/>
  </r>
  <r>
    <s v="Cozy upstairs room with (1) walk-in closet"/>
    <s v="Chad"/>
    <x v="5"/>
    <n v="42.667029999999997"/>
    <n v="-73.778419999999997"/>
    <x v="1"/>
    <x v="24"/>
    <n v="20"/>
    <n v="28"/>
    <d v="2026-01-02T00:00:00"/>
    <n v="0.27"/>
    <n v="3"/>
    <n v="303"/>
    <n v="2"/>
    <x v="0"/>
  </r>
  <r>
    <s v="Elegant Guest Suite in our beautiful Victorian!"/>
    <s v="Bela"/>
    <x v="7"/>
    <n v="42.655009999999997"/>
    <n v="-73.781220000000005"/>
    <x v="1"/>
    <x v="25"/>
    <n v="2"/>
    <n v="142"/>
    <d v="2026-06-11T00:00:00"/>
    <n v="1.38"/>
    <n v="8"/>
    <n v="312"/>
    <n v="20"/>
    <x v="2"/>
  </r>
  <r>
    <s v="The Western Suite"/>
    <s v="Bela"/>
    <x v="7"/>
    <n v="42.654310000000002"/>
    <n v="-73.781779999999998"/>
    <x v="1"/>
    <x v="2"/>
    <n v="2"/>
    <n v="58"/>
    <d v="2026-05-26T00:00:00"/>
    <n v="0.62"/>
    <n v="8"/>
    <n v="352"/>
    <n v="8"/>
    <x v="0"/>
  </r>
  <r>
    <s v="Quiet and Pretty in the Heart of Center Square"/>
    <s v="Janet"/>
    <x v="1"/>
    <n v="42.653449999999999"/>
    <n v="-73.764499999999998"/>
    <x v="0"/>
    <x v="26"/>
    <n v="1"/>
    <n v="996"/>
    <d v="2026-05-31T00:00:00"/>
    <n v="10.199999999999999"/>
    <n v="1"/>
    <n v="102"/>
    <n v="61"/>
    <x v="2"/>
  </r>
  <r>
    <s v="Garden Apartment in Ctr. Square: Monthly Discounts"/>
    <s v="Farah"/>
    <x v="1"/>
    <n v="42.654029999999999"/>
    <n v="-73.763249999999999"/>
    <x v="0"/>
    <x v="27"/>
    <n v="2"/>
    <n v="173"/>
    <d v="2026-06-14T00:00:00"/>
    <n v="1.81"/>
    <n v="1"/>
    <n v="309"/>
    <n v="31"/>
    <x v="2"/>
  </r>
  <r>
    <s v="The Rock &amp; Roll Suite"/>
    <s v="Bela"/>
    <x v="7"/>
    <n v="42.654308319091797"/>
    <n v="-73.781776428222599"/>
    <x v="1"/>
    <x v="28"/>
    <n v="2"/>
    <n v="39"/>
    <d v="2026-05-18T00:00:00"/>
    <n v="0.44"/>
    <n v="8"/>
    <n v="296"/>
    <n v="13"/>
    <x v="0"/>
  </r>
  <r>
    <s v="Albany Cozy home with fireplaces and Sunroom"/>
    <s v="Rosanne"/>
    <x v="11"/>
    <n v="42.645139999999998"/>
    <n v="-73.80668"/>
    <x v="0"/>
    <x v="29"/>
    <n v="2"/>
    <n v="17"/>
    <d v="2026-05-17T00:00:00"/>
    <n v="0.18"/>
    <n v="1"/>
    <n v="169"/>
    <n v="3"/>
    <x v="3"/>
  </r>
  <r>
    <s v="Private Room in Historic Residential Home"/>
    <s v="Ed"/>
    <x v="7"/>
    <n v="42.654640000000001"/>
    <n v="-73.783479999999997"/>
    <x v="1"/>
    <x v="12"/>
    <n v="1"/>
    <n v="280"/>
    <d v="2026-05-08T00:00:00"/>
    <n v="3.03"/>
    <n v="3"/>
    <n v="224"/>
    <n v="10"/>
    <x v="0"/>
  </r>
  <r>
    <s v="Historic Loft Suite @ Downtown Albany"/>
    <s v="Earl Vanze"/>
    <x v="2"/>
    <n v="42.645350000000001"/>
    <n v="-73.753649999999993"/>
    <x v="0"/>
    <x v="30"/>
    <n v="1"/>
    <n v="749"/>
    <d v="2026-06-09T00:00:00"/>
    <n v="8.14"/>
    <n v="11"/>
    <n v="353"/>
    <n v="57"/>
    <x v="2"/>
  </r>
  <r>
    <s v="Cozy Garden 2-Bed Full Amenities @ Downtown Albany"/>
    <s v="Earl Vanze"/>
    <x v="2"/>
    <n v="42.645350000000001"/>
    <n v="-73.753649999999993"/>
    <x v="0"/>
    <x v="31"/>
    <n v="1"/>
    <n v="692"/>
    <d v="2026-06-02T00:00:00"/>
    <n v="7.57"/>
    <n v="11"/>
    <n v="338"/>
    <n v="61"/>
    <x v="2"/>
  </r>
  <r>
    <s v="Spacious_x000a_private suite and private bath"/>
    <s v="Rachel"/>
    <x v="12"/>
    <n v="42.673699999999997"/>
    <n v="-73.753129999999999"/>
    <x v="1"/>
    <x v="32"/>
    <n v="1"/>
    <n v="9"/>
    <d v="2026-05-17T00:00:00"/>
    <n v="0.1"/>
    <n v="1"/>
    <n v="149"/>
    <n v="2"/>
    <x v="2"/>
  </r>
  <r>
    <s v="Funky Urban Gem: Prime Central Location - Parking!"/>
    <s v="Ming"/>
    <x v="1"/>
    <n v="42.652349999999998"/>
    <n v="-73.767139999999998"/>
    <x v="0"/>
    <x v="33"/>
    <n v="1"/>
    <n v="137"/>
    <d v="2026-05-02T00:00:00"/>
    <n v="1.48"/>
    <n v="7"/>
    <n v="357"/>
    <n v="30"/>
    <x v="2"/>
  </r>
  <r>
    <s v="Seashore Suite At The Inn on South Lake"/>
    <s v="Bela"/>
    <x v="7"/>
    <n v="42.653300000000002"/>
    <n v="-73.781139999999994"/>
    <x v="1"/>
    <x v="28"/>
    <n v="2"/>
    <n v="78"/>
    <d v="2026-04-30T00:00:00"/>
    <n v="0.87"/>
    <n v="8"/>
    <n v="225"/>
    <n v="10"/>
    <x v="0"/>
  </r>
  <r>
    <s v="Moroccan Sands"/>
    <s v="Sherrell"/>
    <x v="12"/>
    <n v="42.676099999999998"/>
    <n v="-73.738249999999994"/>
    <x v="1"/>
    <x v="34"/>
    <n v="3"/>
    <n v="1"/>
    <d v="2024-10-28T00:00:00"/>
    <n v="0.05"/>
    <n v="1"/>
    <n v="270"/>
    <n v="0"/>
    <x v="1"/>
  </r>
  <r>
    <s v="Historic Full Amenities 2BR Apt @Downtown Albany"/>
    <s v="Earl Vanze"/>
    <x v="2"/>
    <n v="42.645629999999997"/>
    <n v="-73.753110000000007"/>
    <x v="0"/>
    <x v="35"/>
    <n v="1"/>
    <n v="488"/>
    <d v="2026-06-06T00:00:00"/>
    <n v="5.53"/>
    <n v="11"/>
    <n v="348"/>
    <n v="36"/>
    <x v="2"/>
  </r>
  <r>
    <s v="Historic, Spacious &amp; Fun 2BR Apt @ Downtown Albany"/>
    <s v="Earl Vanze"/>
    <x v="2"/>
    <n v="42.645850000000003"/>
    <n v="-73.752970000000005"/>
    <x v="0"/>
    <x v="33"/>
    <n v="1"/>
    <n v="505"/>
    <d v="2026-05-24T00:00:00"/>
    <n v="5.79"/>
    <n v="11"/>
    <n v="350"/>
    <n v="42"/>
    <x v="2"/>
  </r>
  <r>
    <s v="Cozy Bedroom in Historic Residential Home"/>
    <s v="Ed"/>
    <x v="9"/>
    <n v="42.652589999999996"/>
    <n v="-73.782229999999998"/>
    <x v="1"/>
    <x v="12"/>
    <n v="1"/>
    <n v="224"/>
    <d v="2026-04-01T00:00:00"/>
    <n v="2.65"/>
    <n v="3"/>
    <n v="228"/>
    <n v="26"/>
    <x v="0"/>
  </r>
  <r>
    <s v="Perfect Downtown Base | 1BR + Free Parking"/>
    <s v="Diana"/>
    <x v="2"/>
    <n v="42.645060000000001"/>
    <n v="-73.757270000000005"/>
    <x v="0"/>
    <x v="36"/>
    <n v="2"/>
    <n v="336"/>
    <d v="2026-05-30T00:00:00"/>
    <n v="3.97"/>
    <n v="14"/>
    <n v="73"/>
    <n v="25"/>
    <x v="2"/>
  </r>
  <r>
    <s v="Sophisticated Retreat: 2BR in heart of Albany"/>
    <s v="Elizabeth"/>
    <x v="10"/>
    <n v="42.66619"/>
    <n v="-73.790310000000005"/>
    <x v="0"/>
    <x v="2"/>
    <n v="30"/>
    <n v="54"/>
    <d v="2024-08-14T00:00:00"/>
    <n v="0.64"/>
    <n v="11"/>
    <n v="365"/>
    <n v="0"/>
    <x v="0"/>
  </r>
  <r>
    <s v="Comfy and quiet"/>
    <s v="Diana"/>
    <x v="11"/>
    <n v="42.650849999999998"/>
    <n v="-73.802390000000003"/>
    <x v="1"/>
    <x v="37"/>
    <n v="1"/>
    <n v="490"/>
    <d v="2026-06-14T00:00:00"/>
    <n v="5.95"/>
    <n v="2"/>
    <n v="236"/>
    <n v="65"/>
    <x v="0"/>
  </r>
  <r>
    <s v="Center Sq 2BR Brownstone | Walk Capitol | Parking"/>
    <s v="Flerida"/>
    <x v="1"/>
    <n v="42.655070000000002"/>
    <n v="-73.761380000000003"/>
    <x v="0"/>
    <x v="38"/>
    <n v="1"/>
    <n v="57"/>
    <d v="2026-04-19T00:00:00"/>
    <n v="0.72"/>
    <n v="4"/>
    <n v="306"/>
    <n v="11"/>
    <x v="1"/>
  </r>
  <r>
    <s v="Spacious Designer 1-Bed Near Albany Med"/>
    <s v="Elizabeth"/>
    <x v="7"/>
    <n v="42.654829999999997"/>
    <n v="-73.780330000000006"/>
    <x v="0"/>
    <x v="21"/>
    <n v="5"/>
    <n v="25"/>
    <d v="2026-04-07T00:00:00"/>
    <n v="0.31"/>
    <n v="11"/>
    <n v="269"/>
    <n v="1"/>
    <x v="2"/>
  </r>
  <r>
    <s v="Stunning Bungalo-style Loft in Downtown Albany"/>
    <s v="Matthew"/>
    <x v="12"/>
    <n v="42.660910000000001"/>
    <n v="-73.742850000000004"/>
    <x v="0"/>
    <x v="39"/>
    <n v="1"/>
    <n v="247"/>
    <d v="2026-04-26T00:00:00"/>
    <n v="3.16"/>
    <n v="1"/>
    <n v="169"/>
    <n v="9"/>
    <x v="3"/>
  </r>
  <r>
    <s v="Renovated, private parking,location, washer dryer!"/>
    <s v="Allen"/>
    <x v="10"/>
    <n v="42.66827"/>
    <n v="-73.792310000000001"/>
    <x v="0"/>
    <x v="27"/>
    <n v="3"/>
    <n v="147"/>
    <d v="2026-05-17T00:00:00"/>
    <n v="1.85"/>
    <n v="9"/>
    <n v="254"/>
    <n v="16"/>
    <x v="2"/>
  </r>
  <r>
    <s v="Comfortable! One Bedroom A/C Apartment Queen Bed"/>
    <s v="Lloyd"/>
    <x v="12"/>
    <n v="42.677729999999997"/>
    <n v="-73.738990000000001"/>
    <x v="0"/>
    <x v="40"/>
    <n v="1"/>
    <n v="175"/>
    <d v="2026-06-11T00:00:00"/>
    <n v="2.2400000000000002"/>
    <n v="1"/>
    <n v="224"/>
    <n v="2"/>
    <x v="2"/>
  </r>
  <r>
    <s v="Center Square Sanctuary: Private 2-Bedroom Gem"/>
    <s v="Elizabeth"/>
    <x v="1"/>
    <n v="42.653149999999997"/>
    <n v="-73.762020000000007"/>
    <x v="0"/>
    <x v="21"/>
    <n v="7"/>
    <n v="25"/>
    <d v="2025-06-07T00:00:00"/>
    <n v="0.32"/>
    <n v="11"/>
    <n v="360"/>
    <n v="0"/>
    <x v="2"/>
  </r>
  <r>
    <s v="Homey"/>
    <s v="Arkady"/>
    <x v="7"/>
    <n v="42.655670000000001"/>
    <n v="-73.785399999999996"/>
    <x v="0"/>
    <x v="41"/>
    <n v="70"/>
    <n v="0"/>
    <m/>
    <n v="0"/>
    <n v="1"/>
    <n v="365"/>
    <n v="0"/>
    <x v="0"/>
  </r>
  <r>
    <s v="Charming dog friendly home with private yard!"/>
    <s v="Anthony"/>
    <x v="13"/>
    <n v="42.638759999999998"/>
    <n v="-73.785349999999994"/>
    <x v="0"/>
    <x v="42"/>
    <n v="1"/>
    <n v="142"/>
    <d v="2026-06-04T00:00:00"/>
    <n v="1.9"/>
    <n v="1"/>
    <n v="140"/>
    <n v="24"/>
    <x v="1"/>
  </r>
  <r>
    <s v="Cozy Historic 2BD Apt @ Downtown Albany"/>
    <s v="Angela"/>
    <x v="2"/>
    <n v="42.644530000000003"/>
    <n v="-73.754260000000002"/>
    <x v="0"/>
    <x v="43"/>
    <n v="1"/>
    <n v="134"/>
    <d v="2026-06-07T00:00:00"/>
    <n v="1.92"/>
    <n v="3"/>
    <n v="74"/>
    <n v="19"/>
    <x v="1"/>
  </r>
  <r>
    <s v="Center Sq Brownstone - Walk To Capitol - Parking"/>
    <s v="Flerida"/>
    <x v="1"/>
    <n v="42.655560000000001"/>
    <n v="-73.762050000000002"/>
    <x v="0"/>
    <x v="44"/>
    <n v="1"/>
    <n v="24"/>
    <d v="2025-12-11T00:00:00"/>
    <n v="0.37"/>
    <n v="4"/>
    <n v="365"/>
    <n v="6"/>
    <x v="3"/>
  </r>
  <r>
    <s v="* Quaint home located in residential neighborhood*"/>
    <s v="Diana"/>
    <x v="11"/>
    <n v="42.643830000000001"/>
    <n v="-73.789259999999999"/>
    <x v="0"/>
    <x v="45"/>
    <n v="2"/>
    <n v="92"/>
    <d v="2026-05-17T00:00:00"/>
    <n v="1.27"/>
    <n v="14"/>
    <n v="58"/>
    <n v="1"/>
    <x v="3"/>
  </r>
  <r>
    <s v="Historic Queen Studio Across from Washington Park!"/>
    <s v="Lloyd"/>
    <x v="1"/>
    <n v="42.659350000000003"/>
    <n v="-73.768050000000002"/>
    <x v="0"/>
    <x v="46"/>
    <n v="1"/>
    <n v="401"/>
    <d v="2026-06-13T00:00:00"/>
    <n v="5.57"/>
    <n v="3"/>
    <n v="306"/>
    <n v="29"/>
    <x v="2"/>
  </r>
  <r>
    <s v="Parkside Queen 1 Bedroom (1800's) Brownstone!"/>
    <s v="Lloyd"/>
    <x v="1"/>
    <n v="42.660060000000001"/>
    <n v="-73.769660000000002"/>
    <x v="0"/>
    <x v="47"/>
    <n v="1"/>
    <n v="330"/>
    <d v="2026-06-06T00:00:00"/>
    <n v="4.6100000000000003"/>
    <n v="3"/>
    <n v="320"/>
    <n v="28"/>
    <x v="2"/>
  </r>
  <r>
    <s v="Spacious upscale luxury apartment with huge yard"/>
    <s v="Michael"/>
    <x v="11"/>
    <n v="42.64808"/>
    <n v="-73.799599999999998"/>
    <x v="0"/>
    <x v="48"/>
    <n v="13"/>
    <n v="28"/>
    <d v="2026-04-13T00:00:00"/>
    <n v="0.4"/>
    <n v="6"/>
    <n v="242"/>
    <n v="2"/>
    <x v="2"/>
  </r>
  <r>
    <s v="Private Apt Queen 1 Bed Sanctuary with many Extras"/>
    <s v="Elsa"/>
    <x v="3"/>
    <n v="42.661320000000003"/>
    <n v="-73.795599999999993"/>
    <x v="0"/>
    <x v="49"/>
    <n v="1"/>
    <n v="134"/>
    <d v="2026-06-07T00:00:00"/>
    <n v="1.9"/>
    <n v="1"/>
    <n v="358"/>
    <n v="5"/>
    <x v="2"/>
  </r>
  <r>
    <s v="Secluded Studio Loft 3fl@ Historic Downtown Albany"/>
    <s v="Angela"/>
    <x v="2"/>
    <n v="42.644539999999999"/>
    <n v="-73.753690000000006"/>
    <x v="0"/>
    <x v="50"/>
    <n v="1"/>
    <n v="57"/>
    <d v="2026-06-14T00:00:00"/>
    <n v="0.99"/>
    <n v="3"/>
    <n v="73"/>
    <n v="17"/>
    <x v="2"/>
  </r>
  <r>
    <s v="UNIQUE Gem in HEART of Albany â˜… Spiral Staircase"/>
    <s v="Linda"/>
    <x v="2"/>
    <n v="42.648009999999999"/>
    <n v="-73.756680000000003"/>
    <x v="0"/>
    <x v="51"/>
    <n v="1"/>
    <n v="102"/>
    <d v="2026-04-12T00:00:00"/>
    <n v="1.56"/>
    <n v="16"/>
    <n v="185"/>
    <n v="3"/>
    <x v="1"/>
  </r>
  <r>
    <s v="WOW â˜… Bright Apt â˜… PRIME downtown Walk Everywhere"/>
    <s v="Linda"/>
    <x v="2"/>
    <n v="42.648209999999999"/>
    <n v="-73.757930000000002"/>
    <x v="0"/>
    <x v="51"/>
    <n v="1"/>
    <n v="132"/>
    <d v="2026-02-26T00:00:00"/>
    <n v="2.0099999999999998"/>
    <n v="16"/>
    <n v="330"/>
    <n v="9"/>
    <x v="1"/>
  </r>
  <r>
    <s v="â˜… 2 BEDROOM / 1 BATH TRENDY Apt â˜… Downtown Albany"/>
    <s v="Linda"/>
    <x v="2"/>
    <n v="42.647129999999997"/>
    <n v="-73.756280000000004"/>
    <x v="0"/>
    <x v="52"/>
    <n v="1"/>
    <n v="155"/>
    <d v="2026-05-08T00:00:00"/>
    <n v="2.37"/>
    <n v="16"/>
    <n v="183"/>
    <n v="9"/>
    <x v="1"/>
  </r>
  <r>
    <s v="Our Antique Bungalow"/>
    <s v="Dan"/>
    <x v="7"/>
    <n v="42.653109999999998"/>
    <n v="-73.785250000000005"/>
    <x v="0"/>
    <x v="53"/>
    <n v="1"/>
    <n v="280"/>
    <d v="2026-05-17T00:00:00"/>
    <n v="4.29"/>
    <n v="1"/>
    <n v="234"/>
    <n v="22"/>
    <x v="3"/>
  </r>
  <r>
    <s v="Newly renovated,Amazing Location,private parking"/>
    <s v="Allen"/>
    <x v="10"/>
    <n v="42.666460000000001"/>
    <n v="-73.791839999999993"/>
    <x v="0"/>
    <x v="54"/>
    <n v="3"/>
    <n v="121"/>
    <d v="2026-05-21T00:00:00"/>
    <n v="1.85"/>
    <n v="9"/>
    <n v="243"/>
    <n v="25"/>
    <x v="2"/>
  </r>
  <r>
    <s v="Bright large 1 bdr loft in Center Sq -free parking"/>
    <s v="Ming"/>
    <x v="1"/>
    <n v="42.653449999999999"/>
    <n v="-73.766630000000006"/>
    <x v="0"/>
    <x v="55"/>
    <n v="1"/>
    <n v="116"/>
    <d v="2026-06-05T00:00:00"/>
    <n v="1.78"/>
    <n v="7"/>
    <n v="335"/>
    <n v="51"/>
    <x v="2"/>
  </r>
  <r>
    <s v="Quiet cozy apartment, private laundry, great spot!"/>
    <s v="Allen"/>
    <x v="3"/>
    <n v="42.671559999999999"/>
    <n v="-73.80883"/>
    <x v="0"/>
    <x v="56"/>
    <n v="3"/>
    <n v="85"/>
    <d v="2026-05-24T00:00:00"/>
    <n v="1.31"/>
    <n v="9"/>
    <n v="335"/>
    <n v="14"/>
    <x v="2"/>
  </r>
  <r>
    <s v="The Loft Suite @ The Historic Jesse Buel House"/>
    <s v="Thomas"/>
    <x v="10"/>
    <n v="42.669199999999996"/>
    <n v="-73.798490000000001"/>
    <x v="1"/>
    <x v="57"/>
    <n v="1"/>
    <n v="216"/>
    <d v="2026-05-14T00:00:00"/>
    <n v="3.27"/>
    <n v="12"/>
    <n v="2"/>
    <n v="43"/>
    <x v="2"/>
  </r>
  <r>
    <s v="Center Sq 2BR Brownstone | Parking | Walk Capitol"/>
    <s v="Flerida"/>
    <x v="0"/>
    <n v="42.655999999999999"/>
    <n v="-73.761229999999998"/>
    <x v="0"/>
    <x v="58"/>
    <n v="1"/>
    <n v="29"/>
    <d v="2026-02-26T00:00:00"/>
    <n v="0.44"/>
    <n v="4"/>
    <n v="205"/>
    <n v="8"/>
    <x v="2"/>
  </r>
  <r>
    <s v="Downtown Albany 1 Bed + Workstation @ Maiden Lane"/>
    <s v="Dillon"/>
    <x v="0"/>
    <n v="42.651179999999997"/>
    <n v="-73.752740000000003"/>
    <x v="0"/>
    <x v="59"/>
    <n v="1"/>
    <n v="190"/>
    <d v="2026-05-13T00:00:00"/>
    <n v="2.92"/>
    <n v="2"/>
    <n v="248"/>
    <n v="20"/>
    <x v="1"/>
  </r>
  <r>
    <s v="*The Rustic Home* 3 Bedroom Second Floor Apartment"/>
    <s v="Scott"/>
    <x v="6"/>
    <n v="42.662610000000001"/>
    <n v="-73.783320000000003"/>
    <x v="0"/>
    <x v="60"/>
    <n v="1"/>
    <n v="175"/>
    <d v="2026-05-16T00:00:00"/>
    <n v="2.69"/>
    <n v="21"/>
    <n v="331"/>
    <n v="8"/>
    <x v="1"/>
  </r>
  <r>
    <s v="Downtown Albany 2 Bedroom + Workstation @ The Mark"/>
    <s v="Dillon"/>
    <x v="0"/>
    <n v="42.649819999999998"/>
    <n v="-73.750900000000001"/>
    <x v="0"/>
    <x v="61"/>
    <n v="1"/>
    <n v="257"/>
    <d v="2026-05-21T00:00:00"/>
    <n v="4.3499999999999996"/>
    <n v="2"/>
    <n v="162"/>
    <n v="26"/>
    <x v="1"/>
  </r>
  <r>
    <s v="The Down Under Suite"/>
    <s v="Bela"/>
    <x v="7"/>
    <n v="42.65399"/>
    <n v="-73.781260000000003"/>
    <x v="1"/>
    <x v="4"/>
    <n v="2"/>
    <n v="92"/>
    <d v="2026-06-06T00:00:00"/>
    <n v="1.43"/>
    <n v="8"/>
    <n v="265"/>
    <n v="14"/>
    <x v="0"/>
  </r>
  <r>
    <s v="/ New Giant Victorian \ 7beds 6 baths + 2x 85&quot; TVs"/>
    <s v="Peter"/>
    <x v="10"/>
    <n v="42.665264129638601"/>
    <n v="-73.786926269531193"/>
    <x v="0"/>
    <x v="62"/>
    <n v="1"/>
    <n v="67"/>
    <d v="2026-05-24T00:00:00"/>
    <n v="1.41"/>
    <n v="8"/>
    <n v="339"/>
    <n v="22"/>
    <x v="4"/>
  </r>
  <r>
    <s v="Capital View I"/>
    <s v="Jerry"/>
    <x v="1"/>
    <n v="42.654290000000003"/>
    <n v="-73.759860000000003"/>
    <x v="0"/>
    <x v="63"/>
    <n v="2"/>
    <n v="109"/>
    <d v="2026-05-18T00:00:00"/>
    <n v="1.85"/>
    <n v="3"/>
    <n v="146"/>
    <n v="6"/>
    <x v="2"/>
  </r>
  <r>
    <s v="Beautiful Center Square Garden-Level Unit"/>
    <s v="Todd"/>
    <x v="1"/>
    <n v="42.65157"/>
    <n v="-73.765460000000004"/>
    <x v="0"/>
    <x v="64"/>
    <n v="2"/>
    <n v="221"/>
    <d v="2026-05-11T00:00:00"/>
    <n v="3.75"/>
    <n v="1"/>
    <n v="88"/>
    <n v="30"/>
    <x v="2"/>
  </r>
  <r>
    <s v="â˜… RARE 1BR Apt with Character GREAT Location! W/Dâ˜…"/>
    <s v="Linda"/>
    <x v="12"/>
    <n v="42.658880000000003"/>
    <n v="-73.746729999999999"/>
    <x v="0"/>
    <x v="65"/>
    <n v="1"/>
    <n v="105"/>
    <d v="2026-05-09T00:00:00"/>
    <n v="1.72"/>
    <n v="16"/>
    <n v="185"/>
    <n v="16"/>
    <x v="1"/>
  </r>
  <r>
    <s v="Studio in Heart of the City, Minus the Chaos"/>
    <s v="Katelyn"/>
    <x v="5"/>
    <n v="42.660339999999998"/>
    <n v="-73.771630000000002"/>
    <x v="0"/>
    <x v="66"/>
    <n v="2"/>
    <n v="201"/>
    <d v="2026-05-19T00:00:00"/>
    <n v="3.7"/>
    <n v="1"/>
    <n v="318"/>
    <n v="16"/>
    <x v="2"/>
  </r>
  <r>
    <s v="Heart of Center Square: Designer 2-Bed Retreat"/>
    <s v="Elizabeth"/>
    <x v="1"/>
    <n v="42.653329999999997"/>
    <n v="-73.764020000000002"/>
    <x v="0"/>
    <x v="67"/>
    <n v="3"/>
    <n v="20"/>
    <d v="2025-10-05T00:00:00"/>
    <n v="0.33"/>
    <n v="11"/>
    <n v="362"/>
    <n v="4"/>
    <x v="1"/>
  </r>
  <r>
    <s v="Sunny Queen bed, Quiet w/Beautiful Garden"/>
    <s v="David Yisrael"/>
    <x v="4"/>
    <n v="42.679450000000003"/>
    <n v="-73.816469999999995"/>
    <x v="1"/>
    <x v="68"/>
    <n v="3"/>
    <n v="46"/>
    <d v="2025-08-10T00:00:00"/>
    <n v="0.8"/>
    <n v="1"/>
    <n v="119"/>
    <n v="1"/>
    <x v="0"/>
  </r>
  <r>
    <s v="â˜…CHIC, Renovated Brownstoneâ˜… in PRIME DT Albany"/>
    <s v="Linda"/>
    <x v="12"/>
    <n v="42.659010000000002"/>
    <n v="-73.747479999999996"/>
    <x v="0"/>
    <x v="51"/>
    <n v="1"/>
    <n v="47"/>
    <d v="2026-01-19T00:00:00"/>
    <n v="0.79"/>
    <n v="16"/>
    <n v="194"/>
    <n v="2"/>
    <x v="1"/>
  </r>
  <r>
    <s v="Chic-romantic, center-city, hotel-style apartment."/>
    <s v="Sonya"/>
    <x v="0"/>
    <n v="42.660640000000001"/>
    <n v="-73.760739999999998"/>
    <x v="0"/>
    <x v="69"/>
    <n v="1"/>
    <n v="278"/>
    <d v="2025-11-13T00:00:00"/>
    <n v="4.6500000000000004"/>
    <n v="1"/>
    <n v="125"/>
    <n v="23"/>
    <x v="2"/>
  </r>
  <r>
    <s v="ðŸƒChic &amp; Cozy Near Washington Park Garden Suite"/>
    <s v="Rosie"/>
    <x v="6"/>
    <n v="42.659689999999998"/>
    <n v="-73.775639999999996"/>
    <x v="0"/>
    <x v="70"/>
    <n v="1"/>
    <n v="32"/>
    <d v="2026-03-31T00:00:00"/>
    <n v="0.56999999999999995"/>
    <n v="1"/>
    <n v="146"/>
    <n v="3"/>
    <x v="2"/>
  </r>
  <r>
    <s v="â˜…MODERN 1BR GREAT Location Downtown! W/D Parking!â˜…"/>
    <s v="Linda"/>
    <x v="12"/>
    <n v="42.658560000000001"/>
    <n v="-73.748660000000001"/>
    <x v="0"/>
    <x v="50"/>
    <n v="1"/>
    <n v="89"/>
    <d v="2026-05-17T00:00:00"/>
    <n v="1.51"/>
    <n v="16"/>
    <n v="131"/>
    <n v="10"/>
    <x v="2"/>
  </r>
  <r>
    <s v="Lovely 1 Bedroom Unit In Historic Brownstone!"/>
    <s v="David"/>
    <x v="0"/>
    <n v="42.658439999999999"/>
    <n v="-73.749780000000001"/>
    <x v="0"/>
    <x v="71"/>
    <n v="2"/>
    <n v="98"/>
    <d v="2026-05-17T00:00:00"/>
    <n v="1.72"/>
    <n v="3"/>
    <n v="360"/>
    <n v="8"/>
    <x v="2"/>
  </r>
  <r>
    <s v="Modern space, everything you could want!"/>
    <s v="Allen"/>
    <x v="13"/>
    <n v="42.630659999999999"/>
    <n v="-73.773570000000007"/>
    <x v="0"/>
    <x v="72"/>
    <n v="3"/>
    <n v="93"/>
    <d v="2026-05-26T00:00:00"/>
    <n v="1.62"/>
    <n v="9"/>
    <n v="135"/>
    <n v="20"/>
    <x v="2"/>
  </r>
  <r>
    <s v="Garden Apartment in Historic Center Square Home"/>
    <s v="Jason"/>
    <x v="1"/>
    <n v="42.656410000000001"/>
    <n v="-73.764129999999994"/>
    <x v="0"/>
    <x v="73"/>
    <n v="1"/>
    <n v="401"/>
    <d v="2026-05-31T00:00:00"/>
    <n v="7.06"/>
    <n v="1"/>
    <n v="59"/>
    <n v="75"/>
    <x v="2"/>
  </r>
  <r>
    <s v="Empire Plaza View II"/>
    <s v="Jerry"/>
    <x v="1"/>
    <n v="42.653860000000002"/>
    <n v="-73.75958"/>
    <x v="0"/>
    <x v="63"/>
    <n v="2"/>
    <n v="81"/>
    <d v="2026-05-16T00:00:00"/>
    <n v="1.41"/>
    <n v="3"/>
    <n v="353"/>
    <n v="5"/>
    <x v="2"/>
  </r>
  <r>
    <s v="* Adorable home w/parking near great restaurants *"/>
    <s v="Diana"/>
    <x v="7"/>
    <n v="42.656739999999999"/>
    <n v="-73.792209999999997"/>
    <x v="0"/>
    <x v="74"/>
    <n v="2"/>
    <n v="158"/>
    <d v="2026-05-17T00:00:00"/>
    <n v="2.78"/>
    <n v="14"/>
    <n v="243"/>
    <n v="20"/>
    <x v="1"/>
  </r>
  <r>
    <s v="+ Perfect place to make memories with loved ones +"/>
    <s v="Diana"/>
    <x v="6"/>
    <n v="42.66236"/>
    <n v="-73.792450000000002"/>
    <x v="0"/>
    <x v="75"/>
    <n v="1"/>
    <n v="113"/>
    <d v="2026-05-31T00:00:00"/>
    <n v="1.99"/>
    <n v="14"/>
    <n v="236"/>
    <n v="23"/>
    <x v="4"/>
  </r>
  <r>
    <s v="â˜…MODERN 1BR Apt w/ PRIVATE deck! W/Dâ˜…"/>
    <s v="Linda"/>
    <x v="12"/>
    <n v="42.658119999999997"/>
    <n v="-73.748369999999994"/>
    <x v="0"/>
    <x v="51"/>
    <n v="1"/>
    <n v="88"/>
    <d v="2025-10-20T00:00:00"/>
    <n v="1.56"/>
    <n v="16"/>
    <n v="196"/>
    <n v="12"/>
    <x v="1"/>
  </r>
  <r>
    <s v="Washington Parkside 1 Bedroom In 1800s Brownstone!"/>
    <s v="Lloyd"/>
    <x v="1"/>
    <n v="42.658259999999999"/>
    <n v="-73.769440000000003"/>
    <x v="0"/>
    <x v="76"/>
    <n v="1"/>
    <n v="283"/>
    <d v="2026-06-13T00:00:00"/>
    <n v="5.01"/>
    <n v="3"/>
    <n v="327"/>
    <n v="75"/>
    <x v="2"/>
  </r>
  <r>
    <s v="Spacious Urban APT w/4BR &amp; Office in Albany"/>
    <s v="Brian"/>
    <x v="3"/>
    <n v="42.658239999999999"/>
    <n v="-73.801140000000004"/>
    <x v="0"/>
    <x v="77"/>
    <n v="1"/>
    <n v="188"/>
    <d v="2026-06-14T00:00:00"/>
    <n v="3.47"/>
    <n v="4"/>
    <n v="230"/>
    <n v="30"/>
    <x v="3"/>
  </r>
  <r>
    <s v="Private Garden Apt in Downtown Albany|Pets Allowed"/>
    <s v="Brian"/>
    <x v="1"/>
    <n v="42.65204"/>
    <n v="-73.766549999999995"/>
    <x v="0"/>
    <x v="40"/>
    <n v="1"/>
    <n v="308"/>
    <d v="2026-06-07T00:00:00"/>
    <n v="5.61"/>
    <n v="4"/>
    <n v="89"/>
    <n v="39"/>
    <x v="2"/>
  </r>
  <r>
    <s v="â˜… BEAUTIFUL  2 BED 2 BATH  w/ SOAKER TUB + W/Dâ˜…"/>
    <s v="Linda"/>
    <x v="12"/>
    <n v="42.659129999999998"/>
    <n v="-73.747219999999999"/>
    <x v="0"/>
    <x v="78"/>
    <n v="1"/>
    <n v="144"/>
    <d v="2026-05-24T00:00:00"/>
    <n v="2.62"/>
    <n v="16"/>
    <n v="178"/>
    <n v="24"/>
    <x v="1"/>
  </r>
  <r>
    <s v="/ Sauna Garden Getaway\ 1943 SUNY Eagle Hill"/>
    <s v="Peter"/>
    <x v="4"/>
    <n v="42.674675000000001"/>
    <n v="-73.822861000000003"/>
    <x v="0"/>
    <x v="79"/>
    <n v="1"/>
    <n v="62"/>
    <d v="2026-05-26T00:00:00"/>
    <n v="1.2"/>
    <n v="8"/>
    <n v="356"/>
    <n v="22"/>
    <x v="4"/>
  </r>
  <r>
    <s v="Pine Hills Stay 1 Bedroom"/>
    <s v="Erion"/>
    <x v="6"/>
    <n v="42.662610000000001"/>
    <n v="-73.790260000000004"/>
    <x v="0"/>
    <x v="80"/>
    <n v="1"/>
    <n v="124"/>
    <d v="2026-05-24T00:00:00"/>
    <n v="2.54"/>
    <n v="16"/>
    <n v="248"/>
    <n v="19"/>
    <x v="2"/>
  </r>
  <r>
    <s v="Beautiful 2 BDR Apartment in the heart of Albany"/>
    <s v="Erion"/>
    <x v="1"/>
    <n v="42.654220000000002"/>
    <n v="-73.769959999999998"/>
    <x v="0"/>
    <x v="81"/>
    <n v="1"/>
    <n v="82"/>
    <d v="2026-05-31T00:00:00"/>
    <n v="1.59"/>
    <n v="16"/>
    <n v="325"/>
    <n v="13"/>
    <x v="2"/>
  </r>
  <r>
    <s v="Beautiful 1 bedroom In the heart of Albany"/>
    <s v="Erion"/>
    <x v="1"/>
    <n v="42.654029999999999"/>
    <n v="-73.770560000000003"/>
    <x v="0"/>
    <x v="82"/>
    <n v="1"/>
    <n v="192"/>
    <d v="2026-04-01T00:00:00"/>
    <n v="3.55"/>
    <n v="16"/>
    <n v="337"/>
    <n v="56"/>
    <x v="2"/>
  </r>
  <r>
    <s v="Cozy townhouse, close to hospital, free parking!"/>
    <s v="Allen"/>
    <x v="7"/>
    <n v="42.65578"/>
    <n v="-73.786410000000004"/>
    <x v="0"/>
    <x v="83"/>
    <n v="3"/>
    <n v="87"/>
    <d v="2026-05-17T00:00:00"/>
    <n v="1.92"/>
    <n v="9"/>
    <n v="219"/>
    <n v="29"/>
    <x v="2"/>
  </r>
  <r>
    <s v="Lovely 1 bedroom rental close to Alb Med!"/>
    <s v="Allen"/>
    <x v="6"/>
    <n v="42.659050000000001"/>
    <n v="-73.779640000000001"/>
    <x v="0"/>
    <x v="27"/>
    <n v="3"/>
    <n v="66"/>
    <d v="2026-03-13T00:00:00"/>
    <n v="1.33"/>
    <n v="9"/>
    <n v="319"/>
    <n v="9"/>
    <x v="2"/>
  </r>
  <r>
    <s v="Cozy 1 bedroom with office and luxurious King size"/>
    <s v="Uniah"/>
    <x v="7"/>
    <n v="42.660620000000002"/>
    <n v="-73.791120000000006"/>
    <x v="0"/>
    <x v="84"/>
    <n v="5"/>
    <n v="2"/>
    <d v="2023-06-26T00:00:00"/>
    <n v="0.04"/>
    <n v="1"/>
    <n v="363"/>
    <n v="0"/>
    <x v="0"/>
  </r>
  <r>
    <s v="Modern one bedroom with free off street parking"/>
    <s v="Michael"/>
    <x v="2"/>
    <n v="42.644410000000001"/>
    <n v="-73.756469999999993"/>
    <x v="0"/>
    <x v="85"/>
    <n v="13"/>
    <n v="17"/>
    <d v="2026-03-01T00:00:00"/>
    <n v="0.35"/>
    <n v="6"/>
    <n v="166"/>
    <n v="3"/>
    <x v="2"/>
  </r>
  <r>
    <s v="Jesse's Suite @ The Historic Jesse Buel House"/>
    <s v="Thomas"/>
    <x v="10"/>
    <n v="42.669110000000003"/>
    <n v="-73.798689999999993"/>
    <x v="1"/>
    <x v="86"/>
    <n v="1"/>
    <n v="157"/>
    <d v="2026-05-03T00:00:00"/>
    <n v="3.25"/>
    <n v="12"/>
    <n v="3"/>
    <n v="31"/>
    <x v="2"/>
  </r>
  <r>
    <s v="Iconic City Center Apt in Downtown | Pets Allowed"/>
    <s v="Brian"/>
    <x v="1"/>
    <n v="42.653530000000003"/>
    <n v="-73.767899999999997"/>
    <x v="0"/>
    <x v="40"/>
    <n v="1"/>
    <n v="242"/>
    <d v="2026-06-15T00:00:00"/>
    <n v="4.84"/>
    <n v="4"/>
    <n v="91"/>
    <n v="63"/>
    <x v="2"/>
  </r>
  <r>
    <s v="Modern luxury one bedroom with off street parking"/>
    <s v="Michael"/>
    <x v="2"/>
    <n v="42.644889999999997"/>
    <n v="-73.757310000000004"/>
    <x v="0"/>
    <x v="87"/>
    <n v="13"/>
    <n v="12"/>
    <d v="2026-02-20T00:00:00"/>
    <n v="0.25"/>
    <n v="6"/>
    <n v="282"/>
    <n v="2"/>
    <x v="2"/>
  </r>
  <r>
    <s v="The Historic Jesse Buel Farmhouse"/>
    <s v="Thomas"/>
    <x v="3"/>
    <n v="42.667619999999999"/>
    <n v="-73.799189999999996"/>
    <x v="0"/>
    <x v="88"/>
    <n v="1"/>
    <n v="18"/>
    <d v="2025-09-25T00:00:00"/>
    <n v="0.38"/>
    <n v="12"/>
    <n v="148"/>
    <n v="3"/>
    <x v="4"/>
  </r>
  <r>
    <s v="â˜…SPACIOUS 1BR Apt w/ Character 10ft Ceilings W/D!â˜…"/>
    <s v="Linda"/>
    <x v="2"/>
    <n v="42.64528"/>
    <n v="-73.758610000000004"/>
    <x v="0"/>
    <x v="89"/>
    <n v="1"/>
    <n v="66"/>
    <d v="2026-05-29T00:00:00"/>
    <n v="1.35"/>
    <n v="16"/>
    <n v="189"/>
    <n v="9"/>
    <x v="1"/>
  </r>
  <r>
    <s v="Clean lines and accessible Convenient Location!"/>
    <s v="Jordan"/>
    <x v="0"/>
    <n v="42.661699748312202"/>
    <n v="-73.764668276057407"/>
    <x v="1"/>
    <x v="90"/>
    <n v="3"/>
    <n v="0"/>
    <m/>
    <n v="0"/>
    <n v="1"/>
    <n v="88"/>
    <n v="0"/>
    <x v="0"/>
  </r>
  <r>
    <s v="ðŸª´ Historic &amp; Homey 1 Bdrm Apt @ Downtown Albany"/>
    <s v="Mohammed"/>
    <x v="2"/>
    <n v="42.645350999999998"/>
    <n v="-73.753647000000001"/>
    <x v="0"/>
    <x v="91"/>
    <n v="1"/>
    <n v="10"/>
    <d v="2023-08-26T00:00:00"/>
    <n v="0.2"/>
    <n v="1"/>
    <n v="365"/>
    <n v="0"/>
    <x v="4"/>
  </r>
  <r>
    <s v="Modern luxury studio with free off street parking"/>
    <s v="Michael"/>
    <x v="2"/>
    <n v="42.646250000000002"/>
    <n v="-73.756630000000001"/>
    <x v="0"/>
    <x v="92"/>
    <n v="14"/>
    <n v="8"/>
    <d v="2024-11-26T00:00:00"/>
    <n v="0.17"/>
    <n v="6"/>
    <n v="166"/>
    <n v="0"/>
    <x v="1"/>
  </r>
  <r>
    <s v="CHEERFULL 3 BEDROOM HOME WITH FREE PARKING."/>
    <s v="Patrice"/>
    <x v="13"/>
    <n v="42.637454699999999"/>
    <n v="-73.771664700000002"/>
    <x v="0"/>
    <x v="93"/>
    <n v="5"/>
    <n v="5"/>
    <d v="2023-09-22T00:00:00"/>
    <n v="0.1"/>
    <n v="2"/>
    <n v="357"/>
    <n v="0"/>
    <x v="1"/>
  </r>
  <r>
    <s v="Beautiful 4 bedroom house Large eat in kitchen"/>
    <s v="Patrice"/>
    <x v="13"/>
    <n v="42.637881899999996"/>
    <n v="-73.771526899999998"/>
    <x v="0"/>
    <x v="94"/>
    <n v="7"/>
    <n v="2"/>
    <d v="2024-08-12T00:00:00"/>
    <n v="0.04"/>
    <n v="2"/>
    <n v="365"/>
    <n v="0"/>
    <x v="2"/>
  </r>
  <r>
    <s v="Elegant, spacious studio apt in historic mansion"/>
    <s v="David"/>
    <x v="1"/>
    <n v="42.654057650371499"/>
    <n v="-73.760712996295098"/>
    <x v="0"/>
    <x v="63"/>
    <n v="1"/>
    <n v="348"/>
    <d v="2026-05-29T00:00:00"/>
    <n v="7.47"/>
    <n v="2"/>
    <n v="315"/>
    <n v="80"/>
    <x v="2"/>
  </r>
  <r>
    <s v="Relax in Style by Washington Park - Free Parking"/>
    <s v="Rabia"/>
    <x v="5"/>
    <n v="42.662300000000002"/>
    <n v="-73.777000000000001"/>
    <x v="0"/>
    <x v="95"/>
    <n v="31"/>
    <n v="103"/>
    <d v="2025-02-23T00:00:00"/>
    <n v="2.44"/>
    <n v="1"/>
    <n v="166"/>
    <n v="0"/>
    <x v="0"/>
  </r>
  <r>
    <s v="Historic Gem, Fireplace,2BR/2BA,Capitol District"/>
    <s v="Timothy"/>
    <x v="2"/>
    <n v="42.646850200000003"/>
    <n v="-73.758725799999993"/>
    <x v="0"/>
    <x v="96"/>
    <n v="2"/>
    <n v="10"/>
    <d v="2026-03-22T00:00:00"/>
    <n v="0.22"/>
    <n v="3"/>
    <n v="122"/>
    <n v="5"/>
    <x v="3"/>
  </r>
  <r>
    <s v="Cozy Albany Home"/>
    <s v="Zuhair"/>
    <x v="10"/>
    <n v="42.670749999999998"/>
    <n v="-73.797039999999996"/>
    <x v="0"/>
    <x v="97"/>
    <n v="2"/>
    <n v="6"/>
    <d v="2025-12-24T00:00:00"/>
    <n v="0.26"/>
    <n v="1"/>
    <n v="160"/>
    <n v="2"/>
    <x v="1"/>
  </r>
  <r>
    <s v="Cozy 1 Bedroom Apt in desirable Albany locale"/>
    <s v="Nicholas"/>
    <x v="10"/>
    <n v="42.674849999999999"/>
    <n v="-73.798670000000001"/>
    <x v="0"/>
    <x v="36"/>
    <n v="3"/>
    <n v="9"/>
    <d v="2026-01-28T00:00:00"/>
    <n v="0.2"/>
    <n v="1"/>
    <n v="162"/>
    <n v="6"/>
    <x v="2"/>
  </r>
  <r>
    <s v="Luxurious one bedroom with off-street parking"/>
    <s v="Michael"/>
    <x v="2"/>
    <n v="42.645769999999999"/>
    <n v="-73.758300000000006"/>
    <x v="0"/>
    <x v="98"/>
    <n v="13"/>
    <n v="10"/>
    <d v="2025-09-28T00:00:00"/>
    <n v="0.24"/>
    <n v="6"/>
    <n v="166"/>
    <n v="2"/>
    <x v="1"/>
  </r>
  <r>
    <s v="Charming Central Escape | 2BR + Parking"/>
    <s v="Diana"/>
    <x v="10"/>
    <n v="42.672609999999999"/>
    <n v="-73.792619999999999"/>
    <x v="0"/>
    <x v="99"/>
    <n v="2"/>
    <n v="75"/>
    <d v="2026-05-15T00:00:00"/>
    <n v="1.69"/>
    <n v="14"/>
    <n v="65"/>
    <n v="10"/>
    <x v="1"/>
  </r>
  <r>
    <s v="Modern &amp; Homey 1BD/1BA Fl 1 Apt @ Downtown Albany"/>
    <s v="Earl Vanze"/>
    <x v="0"/>
    <n v="42.64564"/>
    <n v="-73.752610000000004"/>
    <x v="0"/>
    <x v="100"/>
    <n v="1"/>
    <n v="114"/>
    <d v="2026-05-26T00:00:00"/>
    <n v="2.58"/>
    <n v="11"/>
    <n v="357"/>
    <n v="33"/>
    <x v="2"/>
  </r>
  <r>
    <s v="Lovely private room in center square for $700/mo"/>
    <s v="Elizabeth"/>
    <x v="1"/>
    <n v="42.65643"/>
    <n v="-73.764020000000002"/>
    <x v="1"/>
    <x v="101"/>
    <n v="30"/>
    <n v="3"/>
    <d v="2024-10-05T00:00:00"/>
    <n v="7.0000000000000007E-2"/>
    <n v="1"/>
    <n v="319"/>
    <n v="0"/>
    <x v="0"/>
  </r>
  <r>
    <s v="4 bed all on one floor"/>
    <s v="Diana"/>
    <x v="6"/>
    <n v="42.660690000000002"/>
    <n v="-73.785550000000001"/>
    <x v="0"/>
    <x v="102"/>
    <n v="1"/>
    <n v="46"/>
    <d v="2025-03-02T00:00:00"/>
    <n v="1.05"/>
    <n v="14"/>
    <n v="66"/>
    <n v="0"/>
    <x v="3"/>
  </r>
  <r>
    <s v="Adirondack Suite #1"/>
    <s v="Bela"/>
    <x v="7"/>
    <n v="42.654317800000001"/>
    <n v="-73.781822199999993"/>
    <x v="1"/>
    <x v="4"/>
    <n v="2"/>
    <n v="47"/>
    <d v="2026-04-09T00:00:00"/>
    <n v="1.06"/>
    <n v="8"/>
    <n v="324"/>
    <n v="9"/>
    <x v="0"/>
  </r>
  <r>
    <s v="1 Bedroom on Lincoln Park, near Lark and Downtown"/>
    <s v="James"/>
    <x v="9"/>
    <n v="42.6496"/>
    <n v="-73.767920000000004"/>
    <x v="0"/>
    <x v="103"/>
    <n v="2"/>
    <n v="47"/>
    <d v="2026-05-25T00:00:00"/>
    <n v="1.22"/>
    <n v="2"/>
    <n v="355"/>
    <n v="16"/>
    <x v="2"/>
  </r>
  <r>
    <s v="Private Room in the Center of the Albany"/>
    <s v="Musab"/>
    <x v="1"/>
    <n v="42.652589999999996"/>
    <n v="-73.767319999999998"/>
    <x v="1"/>
    <x v="104"/>
    <n v="20"/>
    <n v="22"/>
    <d v="2026-05-05T00:00:00"/>
    <n v="0.52"/>
    <n v="2"/>
    <n v="241"/>
    <n v="4"/>
    <x v="0"/>
  </r>
  <r>
    <s v="Elegant Studio in Center Square"/>
    <s v="Elizabeth"/>
    <x v="1"/>
    <n v="42.655340000000002"/>
    <n v="-73.764610000000005"/>
    <x v="0"/>
    <x v="105"/>
    <n v="7"/>
    <n v="15"/>
    <d v="2026-02-15T00:00:00"/>
    <n v="0.35"/>
    <n v="11"/>
    <n v="312"/>
    <n v="1"/>
    <x v="2"/>
  </r>
  <r>
    <s v="Charming location near universities &amp; hospital"/>
    <s v="Diana"/>
    <x v="10"/>
    <n v="42.672609999999999"/>
    <n v="-73.792619999999999"/>
    <x v="0"/>
    <x v="106"/>
    <n v="2"/>
    <n v="70"/>
    <d v="2026-05-06T00:00:00"/>
    <n v="1.74"/>
    <n v="14"/>
    <n v="36"/>
    <n v="18"/>
    <x v="1"/>
  </r>
  <r>
    <s v="ParkSouth Stay 2 Bedroom with Parking"/>
    <s v="Erion"/>
    <x v="1"/>
    <n v="42.654049999999998"/>
    <n v="-73.769530000000003"/>
    <x v="0"/>
    <x v="81"/>
    <n v="1"/>
    <n v="50"/>
    <d v="2026-05-10T00:00:00"/>
    <n v="1.17"/>
    <n v="16"/>
    <n v="259"/>
    <n v="5"/>
    <x v="2"/>
  </r>
  <r>
    <s v="Rest+Restore Room â€¢ Short &amp; Extended Stay â€¢"/>
    <s v="Melissa"/>
    <x v="6"/>
    <n v="42.661169999999998"/>
    <n v="-73.790909999999997"/>
    <x v="1"/>
    <x v="26"/>
    <n v="1"/>
    <n v="44"/>
    <d v="2026-05-17T00:00:00"/>
    <n v="1.02"/>
    <n v="2"/>
    <n v="10"/>
    <n v="13"/>
    <x v="2"/>
  </r>
  <r>
    <s v="Entire cozy unit in Albany"/>
    <s v="Hasan"/>
    <x v="3"/>
    <n v="42.6601"/>
    <n v="-73.807190000000006"/>
    <x v="0"/>
    <x v="107"/>
    <n v="4"/>
    <n v="78"/>
    <d v="2026-05-31T00:00:00"/>
    <n v="1.85"/>
    <n v="1"/>
    <n v="231"/>
    <n v="15"/>
    <x v="0"/>
  </r>
  <r>
    <s v="Private Entry to bedroom and private bath"/>
    <s v="Donna"/>
    <x v="3"/>
    <n v="42.662979999999997"/>
    <n v="-73.813609999999997"/>
    <x v="1"/>
    <x v="41"/>
    <n v="1"/>
    <n v="62"/>
    <d v="2026-05-23T00:00:00"/>
    <n v="1.53"/>
    <n v="1"/>
    <n v="164"/>
    <n v="42"/>
    <x v="0"/>
  </r>
  <r>
    <s v="Center Square Gem: Junior 1 Bedroom"/>
    <s v="Elizabeth"/>
    <x v="0"/>
    <n v="42.656529999999997"/>
    <n v="-73.762230000000002"/>
    <x v="0"/>
    <x v="108"/>
    <n v="30"/>
    <n v="3"/>
    <d v="2024-01-27T00:00:00"/>
    <n v="0.09"/>
    <n v="11"/>
    <n v="364"/>
    <n v="0"/>
    <x v="0"/>
  </r>
  <r>
    <s v="Glamorous 1BR Retreat in Center Square"/>
    <s v="Elizabeth"/>
    <x v="1"/>
    <n v="42.653219999999997"/>
    <n v="-73.76249"/>
    <x v="0"/>
    <x v="109"/>
    <n v="30"/>
    <n v="5"/>
    <d v="2025-12-31T00:00:00"/>
    <n v="0.15"/>
    <n v="11"/>
    <n v="354"/>
    <n v="1"/>
    <x v="0"/>
  </r>
  <r>
    <s v="Elegant newly renovated cozy smart apartment"/>
    <s v="Tomar"/>
    <x v="8"/>
    <n v="42.659150313354701"/>
    <n v="-73.754319325089398"/>
    <x v="0"/>
    <x v="63"/>
    <n v="2"/>
    <n v="43"/>
    <d v="2026-04-19T00:00:00"/>
    <n v="1.05"/>
    <n v="1"/>
    <n v="302"/>
    <n v="7"/>
    <x v="2"/>
  </r>
  <r>
    <s v="*The Allen House* Gorgeous Apartment - Sleeps 8"/>
    <s v="Scott"/>
    <x v="3"/>
    <n v="42.665300000000002"/>
    <n v="-73.794300000000007"/>
    <x v="0"/>
    <x v="110"/>
    <n v="1"/>
    <n v="150"/>
    <d v="2026-05-31T00:00:00"/>
    <n v="3.73"/>
    <n v="21"/>
    <n v="105"/>
    <n v="38"/>
    <x v="1"/>
  </r>
  <r>
    <s v="Newly Renovated| Washer&amp;Dryer|5G Wifi"/>
    <s v="Vertesol"/>
    <x v="8"/>
    <n v="42.672829999999998"/>
    <n v="-73.773669999999996"/>
    <x v="0"/>
    <x v="27"/>
    <n v="1"/>
    <n v="24"/>
    <d v="2026-03-28T00:00:00"/>
    <n v="0.65"/>
    <n v="1"/>
    <n v="255"/>
    <n v="9"/>
    <x v="2"/>
  </r>
  <r>
    <s v="Historic Washington Park Inn | Full Mansion | 7 BR"/>
    <s v="Terra"/>
    <x v="7"/>
    <n v="42.656328999999999"/>
    <n v="-73.775204799999997"/>
    <x v="2"/>
    <x v="111"/>
    <n v="1"/>
    <n v="9"/>
    <d v="2026-05-14T00:00:00"/>
    <n v="0.26"/>
    <n v="6"/>
    <n v="141"/>
    <n v="4"/>
    <x v="4"/>
  </r>
  <r>
    <s v="Historic Washington Park Inn | Room 4 | Floor 2"/>
    <s v="Terra"/>
    <x v="7"/>
    <n v="42.655819999999999"/>
    <n v="-73.775409999999994"/>
    <x v="1"/>
    <x v="112"/>
    <n v="1"/>
    <n v="12"/>
    <d v="2024-12-01T00:00:00"/>
    <n v="0.34"/>
    <n v="6"/>
    <n v="185"/>
    <n v="0"/>
    <x v="2"/>
  </r>
  <r>
    <s v="Albany Medical/colleges/Downtown Albany/ Room O"/>
    <s v="Share"/>
    <x v="6"/>
    <n v="42.657409999999999"/>
    <n v="-73.780339999999995"/>
    <x v="1"/>
    <x v="12"/>
    <n v="2"/>
    <n v="23"/>
    <d v="2025-11-11T00:00:00"/>
    <n v="0.56000000000000005"/>
    <n v="2"/>
    <n v="101"/>
    <n v="9"/>
    <x v="0"/>
  </r>
  <r>
    <s v="Historic Washington Park Inn | Room 6 | Floor 2"/>
    <s v="Terra"/>
    <x v="1"/>
    <n v="42.657510000000002"/>
    <n v="-73.774090000000001"/>
    <x v="1"/>
    <x v="113"/>
    <n v="1"/>
    <n v="6"/>
    <d v="2024-10-13T00:00:00"/>
    <n v="0.17"/>
    <n v="6"/>
    <n v="171"/>
    <n v="0"/>
    <x v="2"/>
  </r>
  <r>
    <s v="Historic Washington Park Inn | Room 5 | Floor 2"/>
    <s v="Terra"/>
    <x v="7"/>
    <n v="42.656328999999999"/>
    <n v="-73.775205"/>
    <x v="1"/>
    <x v="114"/>
    <n v="1"/>
    <n v="6"/>
    <d v="2024-10-11T00:00:00"/>
    <n v="0.17"/>
    <n v="6"/>
    <n v="181"/>
    <n v="0"/>
    <x v="2"/>
  </r>
  <r>
    <s v="Historic Washington Park Inn | Room 1 | 1st Floor"/>
    <s v="Terra"/>
    <x v="7"/>
    <n v="42.656328999999999"/>
    <n v="-73.775205"/>
    <x v="1"/>
    <x v="112"/>
    <n v="1"/>
    <n v="10"/>
    <d v="2025-08-27T00:00:00"/>
    <n v="0.28000000000000003"/>
    <n v="6"/>
    <n v="187"/>
    <n v="1"/>
    <x v="2"/>
  </r>
  <r>
    <s v="Two bedroom apartment near hospitals pet friendly"/>
    <s v="Jessica"/>
    <x v="7"/>
    <n v="42.656139715194897"/>
    <n v="-73.792122378945294"/>
    <x v="0"/>
    <x v="115"/>
    <n v="30"/>
    <n v="3"/>
    <d v="2026-05-24T00:00:00"/>
    <n v="0.22"/>
    <n v="2"/>
    <n v="161"/>
    <n v="2"/>
    <x v="2"/>
  </r>
  <r>
    <s v="The front room w/ TV and king size bed"/>
    <s v="F S"/>
    <x v="10"/>
    <n v="42.671439999999997"/>
    <n v="-73.790329999999997"/>
    <x v="1"/>
    <x v="7"/>
    <n v="5"/>
    <n v="24"/>
    <d v="2026-06-14T00:00:00"/>
    <n v="0.69"/>
    <n v="5"/>
    <n v="360"/>
    <n v="7"/>
    <x v="0"/>
  </r>
  <r>
    <s v="Cozy Apartment across the Park"/>
    <s v="Erion"/>
    <x v="1"/>
    <n v="42.65258"/>
    <n v="-73.769170000000003"/>
    <x v="0"/>
    <x v="116"/>
    <n v="1"/>
    <n v="59"/>
    <d v="2026-05-17T00:00:00"/>
    <n v="1.44"/>
    <n v="16"/>
    <n v="311"/>
    <n v="19"/>
    <x v="2"/>
  </r>
  <r>
    <s v="COMFY Room/w Private BATH + TV"/>
    <s v="Cristian"/>
    <x v="3"/>
    <n v="42.661090000000002"/>
    <n v="-73.804789999999997"/>
    <x v="1"/>
    <x v="117"/>
    <n v="90"/>
    <n v="3"/>
    <d v="2023-11-30T00:00:00"/>
    <n v="7.0000000000000007E-2"/>
    <n v="2"/>
    <n v="294"/>
    <n v="0"/>
    <x v="0"/>
  </r>
  <r>
    <s v="2 br apt 2 min walk to albanymed offstreet parking"/>
    <s v="Michaela"/>
    <x v="7"/>
    <n v="42.655006189125302"/>
    <n v="-73.775701560079995"/>
    <x v="0"/>
    <x v="118"/>
    <n v="1"/>
    <n v="80"/>
    <d v="2026-06-06T00:00:00"/>
    <n v="1.98"/>
    <n v="3"/>
    <n v="355"/>
    <n v="45"/>
    <x v="1"/>
  </r>
  <r>
    <s v="Boho-Chic Cape Conveniently Located"/>
    <s v="Craig"/>
    <x v="4"/>
    <n v="42.670760000000001"/>
    <n v="-73.826120000000003"/>
    <x v="0"/>
    <x v="119"/>
    <n v="2"/>
    <n v="140"/>
    <d v="2026-06-14T00:00:00"/>
    <n v="3.52"/>
    <n v="1"/>
    <n v="321"/>
    <n v="35"/>
    <x v="3"/>
  </r>
  <r>
    <s v="Mellow Cove"/>
    <s v="Natasha"/>
    <x v="1"/>
    <n v="42.660080000000001"/>
    <n v="-73.769769999999994"/>
    <x v="0"/>
    <x v="27"/>
    <n v="3"/>
    <n v="6"/>
    <d v="2024-07-09T00:00:00"/>
    <n v="0.18"/>
    <n v="2"/>
    <n v="362"/>
    <n v="0"/>
    <x v="2"/>
  </r>
  <r>
    <s v="Cozy Cove Away From Home"/>
    <s v="Natasha"/>
    <x v="1"/>
    <n v="42.659869999999998"/>
    <n v="-73.770250000000004"/>
    <x v="0"/>
    <x v="27"/>
    <n v="3"/>
    <n v="12"/>
    <d v="2023-12-03T00:00:00"/>
    <n v="0.33"/>
    <n v="2"/>
    <n v="357"/>
    <n v="0"/>
    <x v="2"/>
  </r>
  <r>
    <s v="Center Square Serenity: 2-Bedroom Elegance"/>
    <s v="Elizabeth"/>
    <x v="1"/>
    <n v="42.654829999999997"/>
    <n v="-73.763530000000003"/>
    <x v="0"/>
    <x v="23"/>
    <n v="14"/>
    <n v="2"/>
    <d v="2023-09-04T00:00:00"/>
    <n v="0.05"/>
    <n v="11"/>
    <n v="364"/>
    <n v="0"/>
    <x v="2"/>
  </r>
  <r>
    <s v="Modern Cottage-Perfect for Families!"/>
    <s v="Antoinette"/>
    <x v="13"/>
    <n v="42.635039999999996"/>
    <n v="-73.798330000000007"/>
    <x v="0"/>
    <x v="120"/>
    <n v="1"/>
    <n v="160"/>
    <d v="2026-06-01T00:00:00"/>
    <n v="4.07"/>
    <n v="1"/>
    <n v="134"/>
    <n v="44"/>
    <x v="4"/>
  </r>
  <r>
    <s v="Spacious Home Away from Home!"/>
    <s v="Philip"/>
    <x v="14"/>
    <n v="42.673360000000002"/>
    <n v="-73.786190000000005"/>
    <x v="0"/>
    <x v="121"/>
    <n v="2"/>
    <n v="21"/>
    <d v="2026-05-17T00:00:00"/>
    <n v="0.54"/>
    <n v="2"/>
    <n v="173"/>
    <n v="2"/>
    <x v="1"/>
  </r>
  <r>
    <s v="Your luxury home away from home"/>
    <s v="Grant"/>
    <x v="1"/>
    <n v="42.654319999999998"/>
    <n v="-73.765309999999999"/>
    <x v="0"/>
    <x v="118"/>
    <n v="3"/>
    <n v="2"/>
    <d v="2025-02-17T00:00:00"/>
    <n v="7.0000000000000007E-2"/>
    <n v="2"/>
    <n v="233"/>
    <n v="0"/>
    <x v="1"/>
  </r>
  <r>
    <s v="Stunning Guest Suite in Historic 1874 Row House"/>
    <s v="Phat"/>
    <x v="2"/>
    <n v="42.644599999999997"/>
    <n v="-73.758849999999995"/>
    <x v="1"/>
    <x v="3"/>
    <n v="1"/>
    <n v="233"/>
    <d v="2026-06-14T00:00:00"/>
    <n v="5.99"/>
    <n v="1"/>
    <n v="330"/>
    <n v="57"/>
    <x v="2"/>
  </r>
  <r>
    <s v="Plum room, private queen near Albany Med, UAlbany"/>
    <s v="Emily"/>
    <x v="10"/>
    <n v="42.671770000000002"/>
    <n v="-73.794640000000001"/>
    <x v="1"/>
    <x v="2"/>
    <n v="4"/>
    <n v="18"/>
    <d v="2026-02-13T00:00:00"/>
    <n v="0.51"/>
    <n v="13"/>
    <n v="75"/>
    <n v="2"/>
    <x v="0"/>
  </r>
  <r>
    <s v="Updated Historic Brownstone Apt."/>
    <s v="David"/>
    <x v="0"/>
    <n v="42.658169999999998"/>
    <n v="-73.749350000000007"/>
    <x v="0"/>
    <x v="27"/>
    <n v="3"/>
    <n v="30"/>
    <d v="2026-05-25T00:00:00"/>
    <n v="0.8"/>
    <n v="3"/>
    <n v="339"/>
    <n v="8"/>
    <x v="2"/>
  </r>
  <r>
    <s v="Quiet Room Near Everything"/>
    <s v="Cristian"/>
    <x v="3"/>
    <n v="42.661279999999998"/>
    <n v="-73.805480000000003"/>
    <x v="1"/>
    <x v="117"/>
    <n v="90"/>
    <n v="4"/>
    <d v="2024-03-02T00:00:00"/>
    <n v="0.12"/>
    <n v="2"/>
    <n v="203"/>
    <n v="0"/>
    <x v="0"/>
  </r>
  <r>
    <s v="ParkSouth Brickhouse 1 Bedroom"/>
    <s v="Erion"/>
    <x v="1"/>
    <n v="42.653790000000001"/>
    <n v="-73.769009999999994"/>
    <x v="0"/>
    <x v="83"/>
    <n v="1"/>
    <n v="31"/>
    <d v="2026-05-17T00:00:00"/>
    <n v="0.81"/>
    <n v="16"/>
    <n v="356"/>
    <n v="11"/>
    <x v="2"/>
  </r>
  <r>
    <s v="Modern / Downtown Albany 1 BR APT"/>
    <s v="Miguelino"/>
    <x v="6"/>
    <n v="42.659973299999997"/>
    <n v="-73.774743299999997"/>
    <x v="0"/>
    <x v="86"/>
    <n v="1"/>
    <n v="79"/>
    <d v="2026-04-19T00:00:00"/>
    <n v="2.1"/>
    <n v="2"/>
    <n v="206"/>
    <n v="16"/>
    <x v="2"/>
  </r>
  <r>
    <s v="The Comfort II"/>
    <s v="Gabriel"/>
    <x v="0"/>
    <n v="42.662460000000003"/>
    <n v="-73.76576"/>
    <x v="1"/>
    <x v="24"/>
    <n v="7"/>
    <n v="32"/>
    <d v="2025-11-07T00:00:00"/>
    <n v="0.87"/>
    <n v="2"/>
    <n v="364"/>
    <n v="5"/>
    <x v="0"/>
  </r>
  <r>
    <s v="The Comfort"/>
    <s v="Gabriel"/>
    <x v="0"/>
    <n v="42.662877100000003"/>
    <n v="-73.765340299999906"/>
    <x v="1"/>
    <x v="122"/>
    <n v="7"/>
    <n v="30"/>
    <d v="2025-06-08T00:00:00"/>
    <n v="0.8"/>
    <n v="2"/>
    <n v="312"/>
    <n v="0"/>
    <x v="0"/>
  </r>
  <r>
    <s v="Walk to Downtown Albany: Ten Broeck Triangle Apt!"/>
    <s v="Evolve"/>
    <x v="0"/>
    <n v="42.657299999999999"/>
    <n v="-73.752099999999999"/>
    <x v="0"/>
    <x v="113"/>
    <n v="2"/>
    <n v="19"/>
    <d v="2026-05-31T00:00:00"/>
    <n v="0.51"/>
    <n v="4"/>
    <n v="354"/>
    <n v="3"/>
    <x v="2"/>
  </r>
  <r>
    <s v="Airy 5Br-2Ba,Kids Rm, 6TVs,Pvt Fence-yard&amp;Parking!"/>
    <s v="Rashawn"/>
    <x v="6"/>
    <n v="42.660870000000003"/>
    <n v="-73.786550000000005"/>
    <x v="0"/>
    <x v="123"/>
    <n v="2"/>
    <n v="66"/>
    <d v="2026-06-07T00:00:00"/>
    <n v="1.81"/>
    <n v="1"/>
    <n v="245"/>
    <n v="13"/>
    <x v="3"/>
  </r>
  <r>
    <s v="2 bdrm Modern &amp; Hip Apt w/ Patio"/>
    <s v="Linda"/>
    <x v="9"/>
    <n v="42.647869999999998"/>
    <n v="-73.767070000000004"/>
    <x v="0"/>
    <x v="124"/>
    <n v="1"/>
    <n v="65"/>
    <d v="2026-05-30T00:00:00"/>
    <n v="1.78"/>
    <n v="16"/>
    <n v="182"/>
    <n v="15"/>
    <x v="1"/>
  </r>
  <r>
    <s v="&quot;The LEO Home&quot; Private Bedroom 4"/>
    <s v="Scott"/>
    <x v="6"/>
    <n v="42.661740000000002"/>
    <n v="-73.783249999999995"/>
    <x v="1"/>
    <x v="125"/>
    <n v="30"/>
    <n v="2"/>
    <d v="2026-04-13T00:00:00"/>
    <n v="0.36"/>
    <n v="21"/>
    <n v="325"/>
    <n v="2"/>
    <x v="0"/>
  </r>
  <r>
    <s v="/Luxury Modern Western Hideout\"/>
    <s v="Peter"/>
    <x v="10"/>
    <n v="42.665295899999997"/>
    <n v="-73.786877799999999"/>
    <x v="0"/>
    <x v="72"/>
    <n v="1"/>
    <n v="23"/>
    <d v="2025-12-14T00:00:00"/>
    <n v="0.63"/>
    <n v="8"/>
    <n v="264"/>
    <n v="4"/>
    <x v="2"/>
  </r>
  <r>
    <s v="*The Red House* 4 Bedroomsâ€¢Beautifully Renovated"/>
    <s v="Scott"/>
    <x v="6"/>
    <n v="42.662170000000003"/>
    <n v="-73.782989999999998"/>
    <x v="0"/>
    <x v="126"/>
    <n v="1"/>
    <n v="108"/>
    <d v="2026-06-01T00:00:00"/>
    <n v="3.03"/>
    <n v="21"/>
    <n v="352"/>
    <n v="40"/>
    <x v="1"/>
  </r>
  <r>
    <s v="Luxury apartment near Saint Peter / Albany Med"/>
    <s v="Joe"/>
    <x v="3"/>
    <n v="42.658720000000002"/>
    <n v="-73.795550000000006"/>
    <x v="0"/>
    <x v="127"/>
    <n v="28"/>
    <n v="7"/>
    <d v="2026-03-06T00:00:00"/>
    <n v="0.2"/>
    <n v="1"/>
    <n v="273"/>
    <n v="3"/>
    <x v="0"/>
  </r>
  <r>
    <s v="R&amp;R | Hospitals, Colleges + Politics"/>
    <s v="Melissa"/>
    <x v="6"/>
    <n v="42.662610000000001"/>
    <n v="-73.791579999999996"/>
    <x v="1"/>
    <x v="13"/>
    <n v="1"/>
    <n v="18"/>
    <d v="2026-02-15T00:00:00"/>
    <n v="0.5"/>
    <n v="2"/>
    <n v="36"/>
    <n v="8"/>
    <x v="0"/>
  </r>
  <r>
    <s v="Room for rent"/>
    <s v="Grace"/>
    <x v="8"/>
    <n v="42.672919999999998"/>
    <n v="-73.777600000000007"/>
    <x v="1"/>
    <x v="128"/>
    <n v="1"/>
    <n v="0"/>
    <m/>
    <n v="0"/>
    <n v="1"/>
    <n v="364"/>
    <n v="0"/>
    <x v="2"/>
  </r>
  <r>
    <s v="Work hard! Play hard!"/>
    <s v="Kody"/>
    <x v="0"/>
    <n v="42.6586"/>
    <n v="-73.757429999999999"/>
    <x v="0"/>
    <x v="25"/>
    <n v="7"/>
    <n v="3"/>
    <d v="2024-12-21T00:00:00"/>
    <n v="0.09"/>
    <n v="4"/>
    <n v="268"/>
    <n v="0"/>
    <x v="2"/>
  </r>
  <r>
    <s v="Stylish top floor apt w/parking"/>
    <s v="Diana"/>
    <x v="10"/>
    <n v="42.672240000000002"/>
    <n v="-73.793009999999995"/>
    <x v="0"/>
    <x v="129"/>
    <n v="2"/>
    <n v="52"/>
    <d v="2026-05-16T00:00:00"/>
    <n v="1.47"/>
    <n v="14"/>
    <n v="10"/>
    <n v="11"/>
    <x v="2"/>
  </r>
  <r>
    <s v="Historic Washington Park Inn | Room 7 | Floor 2"/>
    <s v="Terra"/>
    <x v="1"/>
    <n v="42.656550000000003"/>
    <n v="-73.774339999999995"/>
    <x v="1"/>
    <x v="112"/>
    <n v="1"/>
    <n v="10"/>
    <d v="2026-05-16T00:00:00"/>
    <n v="0.28000000000000003"/>
    <n v="6"/>
    <n v="178"/>
    <n v="2"/>
    <x v="2"/>
  </r>
  <r>
    <s v="Hudson 2 at The Argus Hotel"/>
    <s v="Argus"/>
    <x v="1"/>
    <n v="42.658670000000001"/>
    <n v="-73.774789999999996"/>
    <x v="1"/>
    <x v="48"/>
    <n v="1"/>
    <n v="3"/>
    <d v="2026-04-19T00:00:00"/>
    <n v="0.09"/>
    <n v="11"/>
    <n v="189"/>
    <n v="1"/>
    <x v="2"/>
  </r>
  <r>
    <s v="Hudson 3 ADA at The Argus Hotel"/>
    <s v="Argus"/>
    <x v="6"/>
    <n v="42.659080000000003"/>
    <n v="-73.774559999999994"/>
    <x v="1"/>
    <x v="48"/>
    <n v="1"/>
    <n v="9"/>
    <d v="2025-08-02T00:00:00"/>
    <n v="0.26"/>
    <n v="11"/>
    <n v="147"/>
    <n v="2"/>
    <x v="2"/>
  </r>
  <r>
    <s v="Hudson 4 at The Argus Hotel"/>
    <s v="Argus"/>
    <x v="6"/>
    <n v="42.660429999999998"/>
    <n v="-73.774320000000003"/>
    <x v="1"/>
    <x v="48"/>
    <n v="1"/>
    <n v="3"/>
    <d v="2025-07-10T00:00:00"/>
    <n v="0.14000000000000001"/>
    <n v="11"/>
    <n v="188"/>
    <n v="1"/>
    <x v="2"/>
  </r>
  <r>
    <s v="Hudson 5 at The Argus Hotel"/>
    <s v="Argus"/>
    <x v="1"/>
    <n v="42.658470000000001"/>
    <n v="-73.772720000000007"/>
    <x v="1"/>
    <x v="48"/>
    <n v="1"/>
    <n v="7"/>
    <d v="2026-05-02T00:00:00"/>
    <n v="0.22"/>
    <n v="11"/>
    <n v="190"/>
    <n v="1"/>
    <x v="2"/>
  </r>
  <r>
    <s v="Whalen 1 Suite at The Argus Hotel"/>
    <s v="Argus"/>
    <x v="1"/>
    <n v="42.659080000000003"/>
    <n v="-73.773259999999993"/>
    <x v="1"/>
    <x v="110"/>
    <n v="1"/>
    <n v="4"/>
    <d v="2026-03-01T00:00:00"/>
    <n v="0.13"/>
    <n v="11"/>
    <n v="182"/>
    <n v="2"/>
    <x v="1"/>
  </r>
  <r>
    <s v="Whalen 2 Deluxe at The Argus Hotel"/>
    <s v="Argus"/>
    <x v="6"/>
    <n v="42.660029999999999"/>
    <n v="-73.773200000000003"/>
    <x v="1"/>
    <x v="130"/>
    <n v="1"/>
    <n v="2"/>
    <d v="2026-03-05T00:00:00"/>
    <n v="0.19"/>
    <n v="11"/>
    <n v="184"/>
    <n v="2"/>
    <x v="1"/>
  </r>
  <r>
    <s v="Whalen 3 at The Argus Hotel"/>
    <s v="Argus"/>
    <x v="1"/>
    <n v="42.658569999999997"/>
    <n v="-73.7744"/>
    <x v="1"/>
    <x v="131"/>
    <n v="1"/>
    <n v="0"/>
    <m/>
    <n v="0"/>
    <n v="11"/>
    <n v="185"/>
    <n v="0"/>
    <x v="1"/>
  </r>
  <r>
    <s v="Whalen 4 at The Argus Hotel"/>
    <s v="Argus"/>
    <x v="1"/>
    <n v="42.658929999999998"/>
    <n v="-73.774479999999997"/>
    <x v="1"/>
    <x v="131"/>
    <n v="1"/>
    <n v="0"/>
    <m/>
    <n v="0"/>
    <n v="11"/>
    <n v="187"/>
    <n v="0"/>
    <x v="1"/>
  </r>
  <r>
    <s v="Knickerbocker 1 The Argus Hotel"/>
    <s v="Argus"/>
    <x v="6"/>
    <n v="42.66037"/>
    <n v="-73.773269999999997"/>
    <x v="1"/>
    <x v="131"/>
    <n v="1"/>
    <n v="0"/>
    <m/>
    <n v="0"/>
    <n v="11"/>
    <n v="190"/>
    <n v="0"/>
    <x v="1"/>
  </r>
  <r>
    <s v="Knickerbocker 3 The Argus Hotel"/>
    <s v="Argus"/>
    <x v="1"/>
    <n v="42.658679999999997"/>
    <n v="-73.773330000000001"/>
    <x v="1"/>
    <x v="53"/>
    <n v="1"/>
    <n v="0"/>
    <m/>
    <n v="0"/>
    <n v="11"/>
    <n v="187"/>
    <n v="0"/>
    <x v="3"/>
  </r>
  <r>
    <s v="Historic Carriage House  in Washington Park"/>
    <s v="Argus"/>
    <x v="6"/>
    <n v="42.660359999999997"/>
    <n v="-73.772900000000007"/>
    <x v="0"/>
    <x v="132"/>
    <n v="1"/>
    <n v="19"/>
    <d v="2026-02-22T00:00:00"/>
    <n v="0.55000000000000004"/>
    <n v="11"/>
    <n v="181"/>
    <n v="3"/>
    <x v="3"/>
  </r>
  <r>
    <s v="The backroom with TV, Queen bed and extra futon"/>
    <s v="F S"/>
    <x v="5"/>
    <n v="42.670836700000002"/>
    <n v="-73.7853116"/>
    <x v="1"/>
    <x v="133"/>
    <n v="5"/>
    <n v="27"/>
    <d v="2025-09-15T00:00:00"/>
    <n v="0.77"/>
    <n v="5"/>
    <n v="334"/>
    <n v="1"/>
    <x v="0"/>
  </r>
  <r>
    <s v="The little room with TV and twin bed"/>
    <s v="F S"/>
    <x v="10"/>
    <n v="42.669739999999997"/>
    <n v="-73.786109999999994"/>
    <x v="1"/>
    <x v="14"/>
    <n v="5"/>
    <n v="49"/>
    <d v="2026-04-20T00:00:00"/>
    <n v="1.39"/>
    <n v="5"/>
    <n v="334"/>
    <n v="13"/>
    <x v="0"/>
  </r>
  <r>
    <s v="The spacious room w/ tv dresser/desk"/>
    <s v="F S"/>
    <x v="5"/>
    <n v="42.670340000000003"/>
    <n v="-73.7851"/>
    <x v="1"/>
    <x v="134"/>
    <n v="5"/>
    <n v="23"/>
    <d v="2026-06-06T00:00:00"/>
    <n v="0.78"/>
    <n v="5"/>
    <n v="345"/>
    <n v="4"/>
    <x v="0"/>
  </r>
  <r>
    <s v="Historic, Spacious Mansion Suite"/>
    <s v="David"/>
    <x v="1"/>
    <n v="42.6541815"/>
    <n v="-73.760860499999893"/>
    <x v="0"/>
    <x v="135"/>
    <n v="1"/>
    <n v="259"/>
    <d v="2026-06-07T00:00:00"/>
    <n v="7.52"/>
    <n v="2"/>
    <n v="313"/>
    <n v="84"/>
    <x v="1"/>
  </r>
  <r>
    <s v="Comfy studio in heart of Albany"/>
    <s v="Justin"/>
    <x v="1"/>
    <n v="42.652410000000003"/>
    <n v="-73.770020000000002"/>
    <x v="0"/>
    <x v="136"/>
    <n v="1"/>
    <n v="139"/>
    <d v="2026-05-28T00:00:00"/>
    <n v="4.08"/>
    <n v="1"/>
    <n v="335"/>
    <n v="38"/>
    <x v="2"/>
  </r>
  <r>
    <s v="Modern 2-bed Apt / Hospitals, SUNY, State Office"/>
    <s v="Tanjin"/>
    <x v="4"/>
    <n v="42.670589999999997"/>
    <n v="-73.816779999999994"/>
    <x v="0"/>
    <x v="3"/>
    <n v="3"/>
    <n v="28"/>
    <d v="2025-12-17T00:00:00"/>
    <n v="0.84"/>
    <n v="1"/>
    <n v="164"/>
    <n v="7"/>
    <x v="2"/>
  </r>
  <r>
    <s v="Abba House historic Retreat - 1st Floor Queen Bed"/>
    <s v="Thomas"/>
    <x v="3"/>
    <n v="42.668770000000002"/>
    <n v="-73.799270000000007"/>
    <x v="1"/>
    <x v="137"/>
    <n v="1"/>
    <n v="165"/>
    <d v="2026-06-01T00:00:00"/>
    <n v="5.16"/>
    <n v="12"/>
    <n v="14"/>
    <n v="37"/>
    <x v="0"/>
  </r>
  <r>
    <s v="Chic Madison Parkview"/>
    <s v="JShing"/>
    <x v="1"/>
    <n v="42.653127750013901"/>
    <n v="-73.769504651427198"/>
    <x v="0"/>
    <x v="40"/>
    <n v="1"/>
    <n v="42"/>
    <d v="2026-06-05T00:00:00"/>
    <n v="1.29"/>
    <n v="1"/>
    <n v="295"/>
    <n v="17"/>
    <x v="2"/>
  </r>
  <r>
    <s v="The House That Pat Built"/>
    <s v="Tyrell"/>
    <x v="8"/>
    <n v="42.66628"/>
    <n v="-73.765119999999996"/>
    <x v="0"/>
    <x v="138"/>
    <n v="2"/>
    <n v="7"/>
    <d v="2025-11-02T00:00:00"/>
    <n v="0.22"/>
    <n v="1"/>
    <n v="107"/>
    <n v="2"/>
    <x v="1"/>
  </r>
  <r>
    <s v="Modern 1BR in a great location"/>
    <s v="Ahmad"/>
    <x v="0"/>
    <n v="42.655155158516301"/>
    <n v="-73.760525826474293"/>
    <x v="0"/>
    <x v="139"/>
    <n v="30"/>
    <n v="10"/>
    <d v="2026-02-01T00:00:00"/>
    <n v="0.3"/>
    <n v="1"/>
    <n v="218"/>
    <n v="3"/>
    <x v="2"/>
  </r>
  <r>
    <s v="Garden level apartment | Center Sq-great location!"/>
    <s v="Grace"/>
    <x v="1"/>
    <n v="42.652599240074899"/>
    <n v="-73.761780139996006"/>
    <x v="0"/>
    <x v="83"/>
    <n v="1"/>
    <n v="43"/>
    <d v="2026-05-13T00:00:00"/>
    <n v="1.47"/>
    <n v="1"/>
    <n v="69"/>
    <n v="24"/>
    <x v="2"/>
  </r>
  <r>
    <s v="Two bedroom close to colleges!"/>
    <s v="Allen"/>
    <x v="3"/>
    <n v="42.67098"/>
    <n v="-73.806950000000001"/>
    <x v="0"/>
    <x v="40"/>
    <n v="3"/>
    <n v="37"/>
    <d v="2026-05-24T00:00:00"/>
    <n v="1.1299999999999999"/>
    <n v="9"/>
    <n v="264"/>
    <n v="19"/>
    <x v="2"/>
  </r>
  <r>
    <s v="5BR/4BA Retreat | Fire Pit + BBQ"/>
    <s v="Timothy"/>
    <x v="9"/>
    <n v="42.644856870964603"/>
    <n v="-73.772818811696197"/>
    <x v="0"/>
    <x v="140"/>
    <n v="2"/>
    <n v="24"/>
    <d v="2026-06-12T00:00:00"/>
    <n v="0.84"/>
    <n v="3"/>
    <n v="127"/>
    <n v="14"/>
    <x v="4"/>
  </r>
  <r>
    <s v="Spacious Apartment Downtown Albany, NY"/>
    <s v="Amar"/>
    <x v="0"/>
    <n v="42.657620000000001"/>
    <n v="-73.751159999999999"/>
    <x v="0"/>
    <x v="141"/>
    <n v="1"/>
    <n v="59"/>
    <d v="2026-05-16T00:00:00"/>
    <n v="1.82"/>
    <n v="2"/>
    <n v="253"/>
    <n v="24"/>
    <x v="2"/>
  </r>
  <r>
    <s v="Elegant Albany Retreat | Mins to D/T &amp; UAlbany"/>
    <s v="Cindy"/>
    <x v="11"/>
    <n v="42.655500000000004"/>
    <n v="-73.810659999999999"/>
    <x v="0"/>
    <x v="142"/>
    <n v="2"/>
    <n v="97"/>
    <d v="2026-05-31T00:00:00"/>
    <n v="3.42"/>
    <n v="1"/>
    <n v="215"/>
    <n v="41"/>
    <x v="1"/>
  </r>
  <r>
    <s v="Massive 4BD/3BA 2-Fl Townhouse Apt Downtown Albany"/>
    <s v="Earl Vanze"/>
    <x v="2"/>
    <n v="42.645348899999902"/>
    <n v="-73.753646500000002"/>
    <x v="0"/>
    <x v="143"/>
    <n v="1"/>
    <n v="106"/>
    <d v="2026-05-13T00:00:00"/>
    <n v="3.31"/>
    <n v="11"/>
    <n v="352"/>
    <n v="39"/>
    <x v="3"/>
  </r>
  <r>
    <s v="Abba House Historic Retreat - 3rd Flr Twin Bed"/>
    <s v="Thomas"/>
    <x v="10"/>
    <n v="42.670029999999997"/>
    <n v="-73.797709999999995"/>
    <x v="1"/>
    <x v="0"/>
    <n v="1"/>
    <n v="75"/>
    <d v="2026-04-30T00:00:00"/>
    <n v="2.35"/>
    <n v="12"/>
    <n v="18"/>
    <n v="11"/>
    <x v="0"/>
  </r>
  <r>
    <s v="Abba House Historic Retreat - Queen Bed w/ Single"/>
    <s v="Thomas"/>
    <x v="10"/>
    <n v="42.669710000000002"/>
    <n v="-73.797550000000001"/>
    <x v="1"/>
    <x v="95"/>
    <n v="1"/>
    <n v="113"/>
    <d v="2026-05-29T00:00:00"/>
    <n v="3.55"/>
    <n v="12"/>
    <n v="10"/>
    <n v="42"/>
    <x v="0"/>
  </r>
  <r>
    <s v="ABBA House Retreat - King Bed w/ Large Office"/>
    <s v="Thomas"/>
    <x v="3"/>
    <n v="42.668066082320202"/>
    <n v="-73.798249470274499"/>
    <x v="1"/>
    <x v="127"/>
    <n v="1"/>
    <n v="19"/>
    <d v="2026-05-23T00:00:00"/>
    <n v="0.59"/>
    <n v="12"/>
    <n v="3"/>
    <n v="17"/>
    <x v="0"/>
  </r>
  <r>
    <s v="ABBA House Retreat: Centrally Located Grand Manor"/>
    <s v="Thomas"/>
    <x v="10"/>
    <n v="42.669899245465501"/>
    <n v="-73.797703105761101"/>
    <x v="0"/>
    <x v="144"/>
    <n v="1"/>
    <n v="11"/>
    <d v="2026-05-30T00:00:00"/>
    <n v="1.76"/>
    <n v="12"/>
    <n v="337"/>
    <n v="11"/>
    <x v="4"/>
  </r>
  <r>
    <s v="Abba House Historic Retreat - 2nd Floor Full Bed"/>
    <s v="Thomas"/>
    <x v="3"/>
    <n v="42.668729999999996"/>
    <n v="-73.799300000000002"/>
    <x v="1"/>
    <x v="4"/>
    <n v="1"/>
    <n v="53"/>
    <d v="2026-04-17T00:00:00"/>
    <n v="1.67"/>
    <n v="12"/>
    <n v="9"/>
    <n v="31"/>
    <x v="0"/>
  </r>
  <r>
    <s v="çº½çº¦å·žé¦–åºœçš„æ¸©é¦¨å°å±‹"/>
    <s v="Yan"/>
    <x v="7"/>
    <n v="42.6558992"/>
    <n v="-73.796569899999994"/>
    <x v="1"/>
    <x v="145"/>
    <n v="1"/>
    <n v="0"/>
    <m/>
    <n v="0"/>
    <n v="1"/>
    <n v="88"/>
    <n v="0"/>
    <x v="0"/>
  </r>
  <r>
    <s v="Heart of Albany - Downtown Near Everything"/>
    <s v="Rodney"/>
    <x v="1"/>
    <n v="42.655389999999997"/>
    <n v="-73.764160000000004"/>
    <x v="0"/>
    <x v="146"/>
    <n v="1"/>
    <n v="62"/>
    <d v="2026-05-29T00:00:00"/>
    <n v="1.95"/>
    <n v="5"/>
    <n v="58"/>
    <n v="21"/>
    <x v="2"/>
  </r>
  <r>
    <s v="ABBA House Retreat- Queen Bed w/ Large Closet"/>
    <s v="Thomas"/>
    <x v="3"/>
    <n v="42.667920312986197"/>
    <n v="-73.798957606712094"/>
    <x v="1"/>
    <x v="37"/>
    <n v="1"/>
    <n v="54"/>
    <d v="2026-05-29T00:00:00"/>
    <n v="1.72"/>
    <n v="12"/>
    <n v="10"/>
    <n v="37"/>
    <x v="0"/>
  </r>
  <r>
    <s v="Abba House Historic Retreat - 2nd Floor Queen Bed"/>
    <s v="Thomas"/>
    <x v="10"/>
    <n v="42.669960000000003"/>
    <n v="-73.798159999999996"/>
    <x v="1"/>
    <x v="4"/>
    <n v="1"/>
    <n v="110"/>
    <d v="2026-06-02T00:00:00"/>
    <n v="3.48"/>
    <n v="12"/>
    <n v="9"/>
    <n v="21"/>
    <x v="0"/>
  </r>
  <r>
    <s v="Rowhouse 9 ParkSouth 1 Bedroom"/>
    <s v="Erion"/>
    <x v="1"/>
    <n v="42.653500000000001"/>
    <n v="-73.77046"/>
    <x v="0"/>
    <x v="147"/>
    <n v="1"/>
    <n v="71"/>
    <d v="2026-05-24T00:00:00"/>
    <n v="2.2599999999999998"/>
    <n v="16"/>
    <n v="334"/>
    <n v="11"/>
    <x v="2"/>
  </r>
  <r>
    <s v="Downtown Studio"/>
    <s v="Etem"/>
    <x v="2"/>
    <n v="42.64714"/>
    <n v="-73.754660000000001"/>
    <x v="0"/>
    <x v="148"/>
    <n v="1"/>
    <n v="219"/>
    <d v="2026-06-04T00:00:00"/>
    <n v="7.12"/>
    <n v="8"/>
    <n v="231"/>
    <n v="75"/>
    <x v="2"/>
  </r>
  <r>
    <s v="*Beautiful* Spacious Prime DT 1 Bedroom Apt w GYM"/>
    <s v="Linda"/>
    <x v="0"/>
    <n v="42.6586"/>
    <n v="-73.764210000000006"/>
    <x v="0"/>
    <x v="92"/>
    <n v="1"/>
    <n v="30"/>
    <d v="2026-04-03T00:00:00"/>
    <n v="0.96"/>
    <n v="16"/>
    <n v="190"/>
    <n v="9"/>
    <x v="1"/>
  </r>
  <r>
    <s v="*Spacious* Modern 1 Bedroom RARE Apt w GYM"/>
    <s v="Linda"/>
    <x v="0"/>
    <n v="42.659709999999997"/>
    <n v="-73.763819999999996"/>
    <x v="0"/>
    <x v="92"/>
    <n v="1"/>
    <n v="37"/>
    <d v="2026-06-08T00:00:00"/>
    <n v="1.19"/>
    <n v="16"/>
    <n v="1"/>
    <n v="8"/>
    <x v="1"/>
  </r>
  <r>
    <s v="2 bed room Apartment"/>
    <s v="Osas"/>
    <x v="2"/>
    <n v="42.639760000000003"/>
    <n v="-73.757050000000007"/>
    <x v="0"/>
    <x v="149"/>
    <n v="1"/>
    <n v="31"/>
    <d v="2026-05-25T00:00:00"/>
    <n v="1.0900000000000001"/>
    <n v="1"/>
    <n v="347"/>
    <n v="12"/>
    <x v="2"/>
  </r>
  <r>
    <s v="Fully Furnished 2BR- 5 min to Albany Med Downtown"/>
    <s v="Dashima"/>
    <x v="13"/>
    <n v="42.640810000000002"/>
    <n v="-73.774630000000002"/>
    <x v="0"/>
    <x v="150"/>
    <n v="30"/>
    <n v="9"/>
    <d v="2025-04-18T00:00:00"/>
    <n v="0.3"/>
    <n v="1"/>
    <n v="257"/>
    <n v="0"/>
    <x v="0"/>
  </r>
  <r>
    <s v="Massive 5BD/4BA 3-Story Duplex @ Downtown Albany"/>
    <s v="Earl Vanze"/>
    <x v="2"/>
    <n v="42.644179999999999"/>
    <n v="-73.753159999999994"/>
    <x v="0"/>
    <x v="151"/>
    <n v="1"/>
    <n v="24"/>
    <d v="2026-05-31T00:00:00"/>
    <n v="0.85"/>
    <n v="11"/>
    <n v="351"/>
    <n v="6"/>
    <x v="4"/>
  </r>
  <r>
    <s v="Nighthawk room, private twin near AMC, UAlbany"/>
    <s v="Emily"/>
    <x v="10"/>
    <n v="42.670960000000001"/>
    <n v="-73.795140000000004"/>
    <x v="1"/>
    <x v="152"/>
    <n v="4"/>
    <n v="17"/>
    <d v="2026-05-20T00:00:00"/>
    <n v="0.59"/>
    <n v="13"/>
    <n v="72"/>
    <n v="5"/>
    <x v="0"/>
  </r>
  <r>
    <s v="Newly renovated cozy apartment !"/>
    <s v="Kody"/>
    <x v="0"/>
    <n v="42.659750000000003"/>
    <n v="-73.763109999999998"/>
    <x v="0"/>
    <x v="153"/>
    <n v="14"/>
    <n v="1"/>
    <d v="2024-11-24T00:00:00"/>
    <n v="0.05"/>
    <n v="4"/>
    <n v="268"/>
    <n v="0"/>
    <x v="0"/>
  </r>
  <r>
    <s v="Triplex oasis w:parking near MVP"/>
    <s v="Diana"/>
    <x v="2"/>
    <n v="42.644089999999998"/>
    <n v="-73.757090000000005"/>
    <x v="0"/>
    <x v="154"/>
    <n v="2"/>
    <n v="98"/>
    <d v="2026-05-28T00:00:00"/>
    <n v="3.5"/>
    <n v="14"/>
    <n v="77"/>
    <n v="32"/>
    <x v="2"/>
  </r>
  <r>
    <s v="Walkable Studio: Restaurants &amp; Fun Just Steps Away"/>
    <s v="Diana"/>
    <x v="1"/>
    <n v="42.65269"/>
    <n v="-73.76567"/>
    <x v="0"/>
    <x v="21"/>
    <n v="2"/>
    <n v="70"/>
    <d v="2026-05-20T00:00:00"/>
    <n v="2.5299999999999998"/>
    <n v="14"/>
    <n v="37"/>
    <n v="21"/>
    <x v="2"/>
  </r>
  <r>
    <s v="Homey, Quiet 2BR W/ Washer Dryer"/>
    <s v="Allen"/>
    <x v="3"/>
    <n v="42.670079999999999"/>
    <n v="-73.806910000000002"/>
    <x v="0"/>
    <x v="155"/>
    <n v="3"/>
    <n v="51"/>
    <d v="2026-03-23T00:00:00"/>
    <n v="1.93"/>
    <n v="9"/>
    <n v="257"/>
    <n v="21"/>
    <x v="2"/>
  </r>
  <r>
    <s v="Rowhouse 03 1 BDR Apartment"/>
    <s v="Erion"/>
    <x v="1"/>
    <n v="42.652889999999999"/>
    <n v="-73.768339999999995"/>
    <x v="0"/>
    <x v="156"/>
    <n v="1"/>
    <n v="67"/>
    <d v="2026-05-17T00:00:00"/>
    <n v="2.42"/>
    <n v="16"/>
    <n v="360"/>
    <n v="17"/>
    <x v="2"/>
  </r>
  <r>
    <s v="Abba House historic Retreat - 2nd Floor Queen"/>
    <s v="Thomas"/>
    <x v="10"/>
    <n v="42.669429999999998"/>
    <n v="-73.798820000000006"/>
    <x v="1"/>
    <x v="2"/>
    <n v="1"/>
    <n v="56"/>
    <d v="2025-10-21T00:00:00"/>
    <n v="2.02"/>
    <n v="12"/>
    <n v="13"/>
    <n v="7"/>
    <x v="0"/>
  </r>
  <r>
    <s v="Historical Pastures"/>
    <s v="Stephanie"/>
    <x v="0"/>
    <n v="42.656446899999999"/>
    <n v="-73.750725099999997"/>
    <x v="0"/>
    <x v="157"/>
    <n v="2"/>
    <n v="27"/>
    <d v="2026-03-22T00:00:00"/>
    <n v="0.99"/>
    <n v="2"/>
    <n v="189"/>
    <n v="15"/>
    <x v="2"/>
  </r>
  <r>
    <s v="Travelers House - Private 2 bedrooms with a deck"/>
    <s v="Sefa"/>
    <x v="3"/>
    <n v="42.664314400282102"/>
    <n v="-73.816066542649693"/>
    <x v="0"/>
    <x v="73"/>
    <n v="3"/>
    <n v="3"/>
    <d v="2026-03-13T00:00:00"/>
    <n v="0.83"/>
    <n v="1"/>
    <n v="112"/>
    <n v="3"/>
    <x v="2"/>
  </r>
  <r>
    <s v="Center Square Garden Apt + W/D | Walk to Capitol"/>
    <s v="Short &amp; Comfy"/>
    <x v="1"/>
    <n v="42.653480000000002"/>
    <n v="-73.7637"/>
    <x v="0"/>
    <x v="32"/>
    <n v="1"/>
    <n v="30"/>
    <d v="2026-05-09T00:00:00"/>
    <n v="1.1200000000000001"/>
    <n v="2"/>
    <n v="266"/>
    <n v="15"/>
    <x v="2"/>
  </r>
  <r>
    <s v="Historic Garden Retreat in 1858 Row House + W/D"/>
    <s v="Short &amp; Comfy"/>
    <x v="1"/>
    <n v="42.651940000000003"/>
    <n v="-73.765259999999998"/>
    <x v="0"/>
    <x v="158"/>
    <n v="1"/>
    <n v="36"/>
    <d v="2026-05-28T00:00:00"/>
    <n v="1.34"/>
    <n v="2"/>
    <n v="266"/>
    <n v="8"/>
    <x v="1"/>
  </r>
  <r>
    <s v="Cozy apartment in Albany"/>
    <s v="Grant"/>
    <x v="1"/>
    <n v="42.65314"/>
    <n v="-73.765460000000004"/>
    <x v="0"/>
    <x v="159"/>
    <n v="2"/>
    <n v="6"/>
    <d v="2025-02-18T00:00:00"/>
    <n v="0.22"/>
    <n v="2"/>
    <n v="161"/>
    <n v="0"/>
    <x v="3"/>
  </r>
  <r>
    <s v="Modern townhouse 2 Bedrooms, King Bed, parking"/>
    <s v="Nori"/>
    <x v="4"/>
    <n v="42.66901"/>
    <n v="-73.824020000000004"/>
    <x v="0"/>
    <x v="160"/>
    <n v="2"/>
    <n v="89"/>
    <d v="2026-05-26T00:00:00"/>
    <n v="3.38"/>
    <n v="3"/>
    <n v="293"/>
    <n v="39"/>
    <x v="1"/>
  </r>
  <r>
    <s v="Charming 1BR Near Capitol-Dwntwn"/>
    <s v="Robert"/>
    <x v="2"/>
    <n v="42.646031999999998"/>
    <n v="-73.760481999999996"/>
    <x v="0"/>
    <x v="161"/>
    <n v="3"/>
    <n v="7"/>
    <d v="2026-05-09T00:00:00"/>
    <n v="0.28000000000000003"/>
    <n v="2"/>
    <n v="216"/>
    <n v="3"/>
    <x v="2"/>
  </r>
  <r>
    <s v="Modern Duplex - Historical Home"/>
    <s v="Robert"/>
    <x v="2"/>
    <n v="42.646031999999998"/>
    <n v="-73.760481999999996"/>
    <x v="0"/>
    <x v="27"/>
    <n v="5"/>
    <n v="8"/>
    <d v="2026-02-26T00:00:00"/>
    <n v="0.3"/>
    <n v="2"/>
    <n v="83"/>
    <n v="3"/>
    <x v="2"/>
  </r>
  <r>
    <s v="Welcome home travelers"/>
    <s v="Andrew"/>
    <x v="9"/>
    <n v="42.64893"/>
    <n v="-73.768860000000004"/>
    <x v="0"/>
    <x v="4"/>
    <n v="25"/>
    <n v="2"/>
    <d v="2024-08-03T00:00:00"/>
    <n v="0.08"/>
    <n v="2"/>
    <n v="210"/>
    <n v="0"/>
    <x v="0"/>
  </r>
  <r>
    <s v="Close to MVP/Airport/SUNY; 45m-1Hr: Saratoga, LG!"/>
    <s v="John"/>
    <x v="4"/>
    <n v="42.674853495878402"/>
    <n v="-73.816924450926194"/>
    <x v="0"/>
    <x v="162"/>
    <n v="1"/>
    <n v="122"/>
    <d v="2026-06-13T00:00:00"/>
    <n v="5.41"/>
    <n v="1"/>
    <n v="328"/>
    <n v="71"/>
    <x v="1"/>
  </r>
  <r>
    <s v="Calling all travelers"/>
    <s v="Kody"/>
    <x v="0"/>
    <n v="42.659089999999999"/>
    <n v="-73.756910000000005"/>
    <x v="0"/>
    <x v="137"/>
    <n v="14"/>
    <n v="2"/>
    <d v="2025-05-15T00:00:00"/>
    <n v="0.08"/>
    <n v="4"/>
    <n v="268"/>
    <n v="0"/>
    <x v="0"/>
  </r>
  <r>
    <s v="Cozy Bedrooms in Albany"/>
    <s v="Adriana"/>
    <x v="10"/>
    <n v="42.668961400000001"/>
    <n v="-73.789037899999997"/>
    <x v="1"/>
    <x v="125"/>
    <n v="28"/>
    <n v="0"/>
    <m/>
    <n v="0"/>
    <n v="6"/>
    <n v="235"/>
    <n v="0"/>
    <x v="0"/>
  </r>
  <r>
    <s v="&quot;The LEO Home&quot; Private Bedroom 1"/>
    <s v="Scott"/>
    <x v="10"/>
    <n v="42.663679999999999"/>
    <n v="-73.781279999999995"/>
    <x v="1"/>
    <x v="41"/>
    <n v="6"/>
    <n v="0"/>
    <m/>
    <n v="0"/>
    <n v="21"/>
    <n v="364"/>
    <n v="0"/>
    <x v="0"/>
  </r>
  <r>
    <s v="North Allen"/>
    <s v="Adriana"/>
    <x v="10"/>
    <n v="42.668961400000001"/>
    <n v="-73.789037899999997"/>
    <x v="1"/>
    <x v="163"/>
    <n v="28"/>
    <n v="2"/>
    <d v="2025-10-10T00:00:00"/>
    <n v="0.19"/>
    <n v="6"/>
    <n v="236"/>
    <n v="2"/>
    <x v="0"/>
  </r>
  <r>
    <s v="Modern Cozy Retreat in Upstate NY-Guest Favorite"/>
    <s v="Riccardo"/>
    <x v="10"/>
    <n v="42.671050000000001"/>
    <n v="-73.799499999999995"/>
    <x v="0"/>
    <x v="164"/>
    <n v="2"/>
    <n v="11"/>
    <d v="2026-05-25T00:00:00"/>
    <n v="0.44"/>
    <n v="1"/>
    <n v="297"/>
    <n v="5"/>
    <x v="2"/>
  </r>
  <r>
    <s v="Larson Green"/>
    <s v="Etem"/>
    <x v="1"/>
    <n v="42.6524924"/>
    <n v="-73.767436099999998"/>
    <x v="0"/>
    <x v="165"/>
    <n v="1"/>
    <n v="119"/>
    <d v="2026-05-17T00:00:00"/>
    <n v="4.63"/>
    <n v="8"/>
    <n v="199"/>
    <n v="60"/>
    <x v="2"/>
  </r>
  <r>
    <s v="Larson Blue"/>
    <s v="Etem"/>
    <x v="1"/>
    <n v="42.652740000000001"/>
    <n v="-73.767790000000005"/>
    <x v="0"/>
    <x v="166"/>
    <n v="2"/>
    <n v="102"/>
    <d v="2026-05-25T00:00:00"/>
    <n v="3.95"/>
    <n v="8"/>
    <n v="112"/>
    <n v="30"/>
    <x v="2"/>
  </r>
  <r>
    <s v="Albany historic Washington Park"/>
    <s v="Joseph"/>
    <x v="1"/>
    <n v="42.6586049"/>
    <n v="-73.768032899999994"/>
    <x v="0"/>
    <x v="147"/>
    <n v="2"/>
    <n v="19"/>
    <d v="2026-02-26T00:00:00"/>
    <n v="0.75"/>
    <n v="1"/>
    <n v="227"/>
    <n v="8"/>
    <x v="2"/>
  </r>
  <r>
    <s v="&quot;The Albany Allen Home&quot; Private Bedroom 1"/>
    <s v="Scott"/>
    <x v="6"/>
    <n v="42.664279999999998"/>
    <n v="-73.792490000000001"/>
    <x v="1"/>
    <x v="134"/>
    <n v="28"/>
    <n v="2"/>
    <d v="2024-11-29T00:00:00"/>
    <n v="0.09"/>
    <n v="21"/>
    <n v="269"/>
    <n v="0"/>
    <x v="0"/>
  </r>
  <r>
    <s v="Funky loft studio"/>
    <s v="Andrew"/>
    <x v="0"/>
    <n v="42.658450000000002"/>
    <n v="-73.759259999999998"/>
    <x v="0"/>
    <x v="85"/>
    <n v="30"/>
    <n v="0"/>
    <m/>
    <n v="0"/>
    <n v="2"/>
    <n v="269"/>
    <n v="0"/>
    <x v="2"/>
  </r>
  <r>
    <s v="*Private Entrance* Cozy Apt Bright + Modern W/D"/>
    <s v="Linda"/>
    <x v="9"/>
    <n v="42.647269999999999"/>
    <n v="-73.767579999999995"/>
    <x v="0"/>
    <x v="92"/>
    <n v="1"/>
    <n v="16"/>
    <d v="2026-02-14T00:00:00"/>
    <n v="0.67"/>
    <n v="16"/>
    <n v="309"/>
    <n v="2"/>
    <x v="1"/>
  </r>
  <r>
    <s v="Walk to convention center:Lark St:Capital"/>
    <s v="Diana"/>
    <x v="1"/>
    <n v="42.65314"/>
    <n v="-73.765299999999996"/>
    <x v="0"/>
    <x v="167"/>
    <n v="2"/>
    <n v="79"/>
    <d v="2026-05-13T00:00:00"/>
    <n v="3.21"/>
    <n v="14"/>
    <n v="93"/>
    <n v="29"/>
    <x v="1"/>
  </r>
  <r>
    <s v="New near major medical facility"/>
    <s v="Diana"/>
    <x v="9"/>
    <n v="42.644419999999997"/>
    <n v="-73.779380000000003"/>
    <x v="0"/>
    <x v="168"/>
    <n v="2"/>
    <n v="32"/>
    <d v="2026-05-17T00:00:00"/>
    <n v="1.38"/>
    <n v="14"/>
    <n v="68"/>
    <n v="13"/>
    <x v="3"/>
  </r>
  <r>
    <s v="Limited Time Listing"/>
    <s v="Rodney"/>
    <x v="1"/>
    <n v="42.653420500000003"/>
    <n v="-73.763975799999997"/>
    <x v="0"/>
    <x v="169"/>
    <n v="1"/>
    <n v="39"/>
    <d v="2026-05-23T00:00:00"/>
    <n v="1.62"/>
    <n v="5"/>
    <n v="55"/>
    <n v="13"/>
    <x v="2"/>
  </r>
  <r>
    <s v="Upscale Listing-Heart of Albany"/>
    <s v="Rodney"/>
    <x v="1"/>
    <n v="42.652270000000001"/>
    <n v="-73.764600000000002"/>
    <x v="0"/>
    <x v="6"/>
    <n v="1"/>
    <n v="43"/>
    <d v="2026-04-13T00:00:00"/>
    <n v="1.84"/>
    <n v="5"/>
    <n v="36"/>
    <n v="19"/>
    <x v="1"/>
  </r>
  <r>
    <s v="Albany Business Class Apartment"/>
    <s v="Rodney"/>
    <x v="1"/>
    <n v="42.6524"/>
    <n v="-73.763509999999997"/>
    <x v="0"/>
    <x v="170"/>
    <n v="1"/>
    <n v="40"/>
    <d v="2026-05-18T00:00:00"/>
    <n v="1.67"/>
    <n v="5"/>
    <n v="54"/>
    <n v="21"/>
    <x v="2"/>
  </r>
  <r>
    <s v="Empire Plaza Apartment"/>
    <s v="Ben"/>
    <x v="1"/>
    <n v="42.653269999999999"/>
    <n v="-73.761809999999997"/>
    <x v="0"/>
    <x v="54"/>
    <n v="1"/>
    <n v="249"/>
    <d v="2026-06-14T00:00:00"/>
    <n v="10.43"/>
    <n v="1"/>
    <n v="123"/>
    <n v="116"/>
    <x v="2"/>
  </r>
  <r>
    <s v="&quot;The Albany Allen Home&quot; Private Bedroom 3"/>
    <s v="Scott"/>
    <x v="3"/>
    <n v="42.666119999999999"/>
    <n v="-73.792749999999998"/>
    <x v="1"/>
    <x v="171"/>
    <n v="28"/>
    <n v="0"/>
    <m/>
    <n v="0"/>
    <n v="21"/>
    <n v="209"/>
    <n v="0"/>
    <x v="0"/>
  </r>
  <r>
    <s v="House near major medical centers/colleges"/>
    <s v="Diana"/>
    <x v="7"/>
    <n v="42.65502"/>
    <n v="-73.791830000000004"/>
    <x v="0"/>
    <x v="29"/>
    <n v="1"/>
    <n v="29"/>
    <d v="2025-07-19T00:00:00"/>
    <n v="1.22"/>
    <n v="14"/>
    <n v="62"/>
    <n v="1"/>
    <x v="3"/>
  </r>
  <r>
    <s v="Beautiful 2 Bedroom with Parking"/>
    <s v="Erion"/>
    <x v="1"/>
    <n v="42.653329999999997"/>
    <n v="-73.771100000000004"/>
    <x v="0"/>
    <x v="81"/>
    <n v="1"/>
    <n v="50"/>
    <d v="2026-06-01T00:00:00"/>
    <n v="2.35"/>
    <n v="16"/>
    <n v="349"/>
    <n v="26"/>
    <x v="2"/>
  </r>
  <r>
    <s v="Pine Hills Stay 1 BDR with Parking"/>
    <s v="Erion"/>
    <x v="6"/>
    <n v="42.662149999999997"/>
    <n v="-73.790480000000002"/>
    <x v="0"/>
    <x v="114"/>
    <n v="1"/>
    <n v="56"/>
    <d v="2026-05-17T00:00:00"/>
    <n v="2.39"/>
    <n v="16"/>
    <n v="320"/>
    <n v="21"/>
    <x v="2"/>
  </r>
  <r>
    <s v="Room in Albany, 4 minutes from AMC"/>
    <s v="Fabiola"/>
    <x v="6"/>
    <n v="42.660529099999998"/>
    <n v="-73.7831549"/>
    <x v="1"/>
    <x v="172"/>
    <n v="28"/>
    <n v="2"/>
    <d v="2026-05-15T00:00:00"/>
    <n v="0.55000000000000004"/>
    <n v="8"/>
    <n v="363"/>
    <n v="2"/>
    <x v="0"/>
  </r>
  <r>
    <s v="Albany Vacation Rental w/ State Capitol Views!"/>
    <s v="Evolve"/>
    <x v="1"/>
    <n v="42.655732"/>
    <n v="-73.764735000000002"/>
    <x v="0"/>
    <x v="42"/>
    <n v="5"/>
    <n v="0"/>
    <m/>
    <n v="0"/>
    <n v="4"/>
    <n v="350"/>
    <n v="0"/>
    <x v="1"/>
  </r>
  <r>
    <s v="&quot;The LEO Home&quot; Private Bedroom 2"/>
    <s v="Scott"/>
    <x v="6"/>
    <n v="42.662689999999998"/>
    <n v="-73.781630000000007"/>
    <x v="1"/>
    <x v="173"/>
    <n v="30"/>
    <n v="0"/>
    <m/>
    <n v="0"/>
    <n v="21"/>
    <n v="350"/>
    <n v="0"/>
    <x v="0"/>
  </r>
  <r>
    <s v="Traveling Medical Professionals"/>
    <s v="Victoria"/>
    <x v="7"/>
    <n v="42.655067359287898"/>
    <n v="-73.797684609889899"/>
    <x v="1"/>
    <x v="104"/>
    <n v="30"/>
    <n v="6"/>
    <d v="2025-12-18T00:00:00"/>
    <n v="0.26"/>
    <n v="3"/>
    <n v="47"/>
    <n v="1"/>
    <x v="0"/>
  </r>
  <r>
    <s v="&quot;The Albany Allen Home&quot; Private Bedroom 5"/>
    <s v="Scott"/>
    <x v="6"/>
    <n v="42.663899999999998"/>
    <n v="-73.792699999999996"/>
    <x v="1"/>
    <x v="134"/>
    <n v="28"/>
    <n v="0"/>
    <m/>
    <n v="0"/>
    <n v="21"/>
    <n v="364"/>
    <n v="0"/>
    <x v="0"/>
  </r>
  <r>
    <s v="Dali room, private queen near AMC, UAlbany"/>
    <s v="Emily"/>
    <x v="10"/>
    <n v="42.673180000000002"/>
    <n v="-73.793450000000007"/>
    <x v="1"/>
    <x v="2"/>
    <n v="4"/>
    <n v="4"/>
    <d v="2025-08-01T00:00:00"/>
    <n v="0.19"/>
    <n v="13"/>
    <n v="88"/>
    <n v="2"/>
    <x v="0"/>
  </r>
  <r>
    <s v="White Cozy Room"/>
    <s v="Adriana"/>
    <x v="10"/>
    <n v="42.668590000000002"/>
    <n v="-73.788319999999999"/>
    <x v="1"/>
    <x v="163"/>
    <n v="28"/>
    <n v="4"/>
    <d v="2026-06-09T00:00:00"/>
    <n v="0.19"/>
    <n v="6"/>
    <n v="336"/>
    <n v="2"/>
    <x v="0"/>
  </r>
  <r>
    <s v="Homey Room"/>
    <s v="Adriana"/>
    <x v="10"/>
    <n v="42.668940399999997"/>
    <n v="-73.789006399999906"/>
    <x v="1"/>
    <x v="4"/>
    <n v="1"/>
    <n v="0"/>
    <m/>
    <n v="0"/>
    <n v="6"/>
    <n v="350"/>
    <n v="0"/>
    <x v="0"/>
  </r>
  <r>
    <s v="/Audubon Apartment\ 3bed 1bath built1928 Pine Hill"/>
    <s v="Joseph"/>
    <x v="10"/>
    <n v="42.669550000000001"/>
    <n v="-73.785420000000002"/>
    <x v="0"/>
    <x v="18"/>
    <n v="3"/>
    <n v="15"/>
    <d v="2026-05-04T00:00:00"/>
    <n v="0.7"/>
    <n v="3"/>
    <n v="348"/>
    <n v="8"/>
    <x v="2"/>
  </r>
  <r>
    <s v="King Bed â€¢ Workspace â€¢ Laundry | Walk to Downtown"/>
    <s v="Dan"/>
    <x v="1"/>
    <n v="42.655071610896101"/>
    <n v="-73.764750946777198"/>
    <x v="0"/>
    <x v="174"/>
    <n v="1"/>
    <n v="88"/>
    <d v="2026-06-04T00:00:00"/>
    <n v="4.7699999999999996"/>
    <n v="1"/>
    <n v="239"/>
    <n v="41"/>
    <x v="1"/>
  </r>
  <r>
    <s v="Larson Gold"/>
    <s v="Etem"/>
    <x v="1"/>
    <n v="42.651730000000001"/>
    <n v="-73.767859999999999"/>
    <x v="0"/>
    <x v="165"/>
    <n v="1"/>
    <n v="116"/>
    <d v="2026-05-25T00:00:00"/>
    <n v="5.39"/>
    <n v="8"/>
    <n v="217"/>
    <n v="60"/>
    <x v="2"/>
  </r>
  <r>
    <s v="Spacious Garden Apt in Center Square"/>
    <s v="Stephanie"/>
    <x v="1"/>
    <n v="42.650468069044301"/>
    <n v="-73.764347958106399"/>
    <x v="0"/>
    <x v="175"/>
    <n v="1"/>
    <n v="3"/>
    <d v="2026-06-06T00:00:00"/>
    <n v="0.15"/>
    <n v="3"/>
    <n v="342"/>
    <n v="1"/>
    <x v="2"/>
  </r>
  <r>
    <s v="Nice room in downtown albany"/>
    <s v="Abdelrahman"/>
    <x v="2"/>
    <n v="42.642499999999998"/>
    <n v="-73.758889999999994"/>
    <x v="1"/>
    <x v="12"/>
    <n v="1"/>
    <n v="40"/>
    <d v="2025-08-14T00:00:00"/>
    <n v="1.91"/>
    <n v="1"/>
    <n v="361"/>
    <n v="6"/>
    <x v="0"/>
  </r>
  <r>
    <s v="&quot;The Albany Allen Home&quot; Private Bedroom 4"/>
    <s v="Scott"/>
    <x v="6"/>
    <n v="42.6651790512174"/>
    <n v="-73.7926014796559"/>
    <x v="1"/>
    <x v="134"/>
    <n v="28"/>
    <n v="1"/>
    <d v="2025-10-07T00:00:00"/>
    <n v="0.12"/>
    <n v="21"/>
    <n v="304"/>
    <n v="1"/>
    <x v="0"/>
  </r>
  <r>
    <s v="staycation CAP region"/>
    <s v="Gregory"/>
    <x v="11"/>
    <n v="42.645487391007499"/>
    <n v="-73.789603215188706"/>
    <x v="0"/>
    <x v="9"/>
    <n v="4"/>
    <n v="0"/>
    <m/>
    <n v="0"/>
    <n v="1"/>
    <n v="362"/>
    <n v="0"/>
    <x v="3"/>
  </r>
  <r>
    <s v="&quot;The Albany Allen Home&quot; Private Bedroom 2"/>
    <s v="Scott"/>
    <x v="6"/>
    <n v="42.6655557806953"/>
    <n v="-73.792697745978302"/>
    <x v="1"/>
    <x v="176"/>
    <n v="21"/>
    <n v="1"/>
    <d v="2024-11-27T00:00:00"/>
    <n v="0.05"/>
    <n v="21"/>
    <n v="358"/>
    <n v="0"/>
    <x v="0"/>
  </r>
  <r>
    <s v="Rowhouse 10 One Bedroom"/>
    <s v="Erion"/>
    <x v="1"/>
    <n v="42.654229768331497"/>
    <n v="-73.769825773133704"/>
    <x v="0"/>
    <x v="164"/>
    <n v="1"/>
    <n v="26"/>
    <d v="2026-05-30T00:00:00"/>
    <n v="1.26"/>
    <n v="16"/>
    <n v="331"/>
    <n v="16"/>
    <x v="2"/>
  </r>
  <r>
    <s v="&quot;The LEO Home&quot; Private Bedroom 3"/>
    <s v="Scott"/>
    <x v="6"/>
    <n v="42.662260000000003"/>
    <n v="-73.782210000000006"/>
    <x v="1"/>
    <x v="104"/>
    <n v="30"/>
    <n v="0"/>
    <m/>
    <n v="0"/>
    <n v="21"/>
    <n v="161"/>
    <n v="0"/>
    <x v="0"/>
  </r>
  <r>
    <s v="*Serene* Parkside 2BR Apt: Private Entrance, W/D"/>
    <s v="Linda"/>
    <x v="9"/>
    <n v="42.647628566664999"/>
    <n v="-73.767516840618896"/>
    <x v="0"/>
    <x v="177"/>
    <n v="1"/>
    <n v="43"/>
    <d v="2026-05-25T00:00:00"/>
    <n v="2.11"/>
    <n v="16"/>
    <n v="333"/>
    <n v="16"/>
    <x v="1"/>
  </r>
  <r>
    <s v="Stylish studio - downtown Albany"/>
    <s v="Stephanie"/>
    <x v="1"/>
    <n v="42.650046750770599"/>
    <n v="-73.764021781643507"/>
    <x v="0"/>
    <x v="57"/>
    <n v="1"/>
    <n v="6"/>
    <d v="2025-03-01T00:00:00"/>
    <n v="0.3"/>
    <n v="3"/>
    <n v="246"/>
    <n v="0"/>
    <x v="2"/>
  </r>
  <r>
    <s v="Central Location 1 Bed 1 Bath With Parking"/>
    <s v="Aleks"/>
    <x v="1"/>
    <n v="42.651379695051702"/>
    <n v="-73.769470692120805"/>
    <x v="0"/>
    <x v="36"/>
    <n v="1"/>
    <n v="62"/>
    <d v="2026-05-17T00:00:00"/>
    <n v="3.14"/>
    <n v="1"/>
    <n v="352"/>
    <n v="45"/>
    <x v="2"/>
  </r>
  <r>
    <s v="Two bedroom apartment in the heart of Albany"/>
    <s v="Fabiola"/>
    <x v="0"/>
    <n v="42.6648753093762"/>
    <n v="-73.767303390287495"/>
    <x v="0"/>
    <x v="178"/>
    <n v="1"/>
    <n v="1"/>
    <d v="2026-04-13T00:00:00"/>
    <n v="0.46"/>
    <n v="8"/>
    <n v="336"/>
    <n v="1"/>
    <x v="0"/>
  </r>
  <r>
    <s v="Spacious &amp; Quiet Townhouse Near Legislative Center"/>
    <s v="Paola"/>
    <x v="2"/>
    <n v="42.6453112779392"/>
    <n v="-73.757933997208895"/>
    <x v="1"/>
    <x v="10"/>
    <n v="1"/>
    <n v="6"/>
    <d v="2025-02-19T00:00:00"/>
    <n v="0.3"/>
    <n v="1"/>
    <n v="305"/>
    <n v="0"/>
    <x v="0"/>
  </r>
  <r>
    <s v="Private bedroom 7 minutes from Albany Med"/>
    <s v="Fabiola"/>
    <x v="0"/>
    <n v="42.664093000000001"/>
    <n v="-73.7679519"/>
    <x v="1"/>
    <x v="179"/>
    <n v="28"/>
    <n v="1"/>
    <d v="2026-03-02T00:00:00"/>
    <n v="0.28000000000000003"/>
    <n v="8"/>
    <n v="297"/>
    <n v="1"/>
    <x v="0"/>
  </r>
  <r>
    <s v="Cowen Residence Hospitality."/>
    <s v="Conseta"/>
    <x v="12"/>
    <n v="42.674451428376102"/>
    <n v="-73.7383570126471"/>
    <x v="0"/>
    <x v="180"/>
    <n v="1"/>
    <n v="5"/>
    <d v="2025-10-11T00:00:00"/>
    <n v="0.28999999999999998"/>
    <n v="1"/>
    <n v="177"/>
    <n v="2"/>
    <x v="1"/>
  </r>
  <r>
    <s v="1 bedroom apt close to hospitals,3min to Albanymed"/>
    <s v="Michaela"/>
    <x v="7"/>
    <n v="42.656656284880697"/>
    <n v="-73.781827054917798"/>
    <x v="0"/>
    <x v="162"/>
    <n v="1"/>
    <n v="39"/>
    <d v="2026-03-16T00:00:00"/>
    <n v="2.0299999999999998"/>
    <n v="3"/>
    <n v="348"/>
    <n v="10"/>
    <x v="1"/>
  </r>
  <r>
    <s v="â€˜The Blue Homeâ€™ Private Bedroom 3 / 1 Full Bath"/>
    <s v="Scott"/>
    <x v="6"/>
    <n v="42.662297059906003"/>
    <n v="-73.781755744966802"/>
    <x v="1"/>
    <x v="125"/>
    <n v="30"/>
    <n v="0"/>
    <m/>
    <n v="0"/>
    <n v="21"/>
    <n v="132"/>
    <n v="0"/>
    <x v="0"/>
  </r>
  <r>
    <s v="Modern Luxury 2 bedroom w/yard"/>
    <s v="Michael"/>
    <x v="11"/>
    <n v="42.645928340632501"/>
    <n v="-73.7987614116538"/>
    <x v="0"/>
    <x v="100"/>
    <n v="13"/>
    <n v="0"/>
    <m/>
    <n v="0"/>
    <n v="6"/>
    <n v="166"/>
    <n v="0"/>
    <x v="2"/>
  </r>
  <r>
    <s v="'The Blue Home' Private Bedroom 1 / 1 Full Bath"/>
    <s v="Scott"/>
    <x v="10"/>
    <n v="42.663456296808803"/>
    <n v="-73.781828154410107"/>
    <x v="1"/>
    <x v="173"/>
    <n v="30"/>
    <n v="1"/>
    <d v="2025-09-17T00:00:00"/>
    <n v="0.11"/>
    <n v="21"/>
    <n v="227"/>
    <n v="1"/>
    <x v="0"/>
  </r>
  <r>
    <s v="Room in Albany"/>
    <s v="Elhadj"/>
    <x v="10"/>
    <n v="42.664345438141098"/>
    <n v="-73.778745731381093"/>
    <x v="1"/>
    <x v="7"/>
    <n v="1"/>
    <n v="11"/>
    <d v="2025-10-01T00:00:00"/>
    <n v="0.65"/>
    <n v="3"/>
    <n v="226"/>
    <n v="2"/>
    <x v="0"/>
  </r>
  <r>
    <s v="Room In Albany, NY"/>
    <s v="Elhadj"/>
    <x v="5"/>
    <n v="42.662949703412202"/>
    <n v="-73.778902711568904"/>
    <x v="1"/>
    <x v="7"/>
    <n v="1"/>
    <n v="124"/>
    <d v="2026-06-05T00:00:00"/>
    <n v="6.61"/>
    <n v="3"/>
    <n v="306"/>
    <n v="80"/>
    <x v="0"/>
  </r>
  <r>
    <s v="Fresh &amp; Modernized 2BR Fl 1 Apt @ Downtown Albany"/>
    <s v="Earl Vanze"/>
    <x v="2"/>
    <n v="42.644412072686499"/>
    <n v="-73.752266736339394"/>
    <x v="0"/>
    <x v="38"/>
    <n v="1"/>
    <n v="58"/>
    <d v="2026-05-17T00:00:00"/>
    <n v="3.27"/>
    <n v="11"/>
    <n v="350"/>
    <n v="37"/>
    <x v="1"/>
  </r>
  <r>
    <s v="â€˜The Blue Homeâ€™ Private Bedroom 2 / 1 Full Bath"/>
    <s v="Scott"/>
    <x v="6"/>
    <n v="42.662998945568603"/>
    <n v="-73.782555853199199"/>
    <x v="1"/>
    <x v="134"/>
    <n v="28"/>
    <n v="1"/>
    <d v="2025-08-13T00:00:00"/>
    <n v="0.1"/>
    <n v="21"/>
    <n v="177"/>
    <n v="1"/>
    <x v="0"/>
  </r>
  <r>
    <s v="â€˜The Blue Homeâ€™ Private Bedroom 4 / 1 Full Bath"/>
    <s v="Scott"/>
    <x v="6"/>
    <n v="42.662399466796899"/>
    <n v="-73.782712601074493"/>
    <x v="1"/>
    <x v="173"/>
    <n v="30"/>
    <n v="0"/>
    <m/>
    <n v="0"/>
    <n v="21"/>
    <n v="339"/>
    <n v="0"/>
    <x v="0"/>
  </r>
  <r>
    <s v="Private Room In Albany"/>
    <s v="Elhadj"/>
    <x v="5"/>
    <n v="42.6637589073082"/>
    <n v="-73.776744067050501"/>
    <x v="1"/>
    <x v="181"/>
    <n v="1"/>
    <n v="71"/>
    <d v="2026-05-22T00:00:00"/>
    <n v="3.93"/>
    <n v="3"/>
    <n v="282"/>
    <n v="44"/>
    <x v="0"/>
  </r>
  <r>
    <s v="Prime Location - 1 Bedroom"/>
    <s v="Cathleen"/>
    <x v="1"/>
    <n v="42.653309999999998"/>
    <n v="-73.769710000000003"/>
    <x v="0"/>
    <x v="84"/>
    <n v="31"/>
    <n v="0"/>
    <m/>
    <n v="0"/>
    <n v="2"/>
    <n v="318"/>
    <n v="0"/>
    <x v="0"/>
  </r>
  <r>
    <s v="The Sweet spot"/>
    <s v="Dennis"/>
    <x v="4"/>
    <n v="42.670778542157798"/>
    <n v="-73.825250545677207"/>
    <x v="0"/>
    <x v="182"/>
    <n v="2"/>
    <n v="8"/>
    <d v="2026-05-27T00:00:00"/>
    <n v="0.56000000000000005"/>
    <n v="1"/>
    <n v="171"/>
    <n v="7"/>
    <x v="1"/>
  </r>
  <r>
    <s v="The Whisky House"/>
    <s v="Tyler"/>
    <x v="1"/>
    <n v="42.650149999999996"/>
    <n v="-73.763369999999995"/>
    <x v="0"/>
    <x v="72"/>
    <n v="2"/>
    <n v="54"/>
    <d v="2026-06-15T00:00:00"/>
    <n v="3.27"/>
    <n v="1"/>
    <n v="254"/>
    <n v="42"/>
    <x v="2"/>
  </r>
  <r>
    <s v="Top of The Capital"/>
    <s v="Jerry"/>
    <x v="1"/>
    <n v="42.652619999999999"/>
    <n v="-73.761340000000004"/>
    <x v="0"/>
    <x v="141"/>
    <n v="2"/>
    <n v="6"/>
    <d v="2026-05-18T00:00:00"/>
    <n v="0.38"/>
    <n v="3"/>
    <n v="321"/>
    <n v="2"/>
    <x v="2"/>
  </r>
  <r>
    <s v="Albany Prime Location - 1 Bed"/>
    <s v="Cathleen"/>
    <x v="1"/>
    <n v="42.653448073835399"/>
    <n v="-73.7694285437464"/>
    <x v="0"/>
    <x v="2"/>
    <n v="31"/>
    <n v="0"/>
    <m/>
    <n v="0"/>
    <n v="2"/>
    <n v="333"/>
    <n v="0"/>
    <x v="0"/>
  </r>
  <r>
    <s v="Charming &amp; Roomy 3BR/1BA Fl 2 Apt @Downtown Albany"/>
    <s v="Earl Vanze"/>
    <x v="2"/>
    <n v="42.644075000583101"/>
    <n v="-73.754527900558202"/>
    <x v="0"/>
    <x v="183"/>
    <n v="1"/>
    <n v="51"/>
    <d v="2026-06-07T00:00:00"/>
    <n v="3.45"/>
    <n v="11"/>
    <n v="302"/>
    <n v="41"/>
    <x v="1"/>
  </r>
  <r>
    <s v="Center Sq 1BR| Walk to Capitol | Parking | Lark St"/>
    <s v="Flerida"/>
    <x v="1"/>
    <n v="42.655664299999998"/>
    <n v="-73.761885899999996"/>
    <x v="0"/>
    <x v="184"/>
    <n v="1"/>
    <n v="17"/>
    <d v="2026-05-24T00:00:00"/>
    <n v="1.44"/>
    <n v="4"/>
    <n v="361"/>
    <n v="17"/>
    <x v="2"/>
  </r>
  <r>
    <s v="Capital City Escape"/>
    <s v="Nori"/>
    <x v="4"/>
    <n v="42.670037135469201"/>
    <n v="-73.823027152316598"/>
    <x v="0"/>
    <x v="45"/>
    <n v="1"/>
    <n v="82"/>
    <d v="2026-06-07T00:00:00"/>
    <n v="5.0599999999999996"/>
    <n v="3"/>
    <n v="337"/>
    <n v="61"/>
    <x v="3"/>
  </r>
  <r>
    <s v="Two bedroom apartment in Albany"/>
    <s v="Fabiola"/>
    <x v="0"/>
    <n v="42.665263049060499"/>
    <n v="-73.767160701079504"/>
    <x v="0"/>
    <x v="90"/>
    <n v="28"/>
    <n v="0"/>
    <m/>
    <n v="0"/>
    <n v="8"/>
    <n v="346"/>
    <n v="0"/>
    <x v="0"/>
  </r>
  <r>
    <s v="A piece of mind"/>
    <s v="The Essencesless Cozy Stay"/>
    <x v="10"/>
    <n v="42.668909999999997"/>
    <n v="-73.790959999999998"/>
    <x v="0"/>
    <x v="185"/>
    <n v="1"/>
    <n v="8"/>
    <d v="2026-03-22T00:00:00"/>
    <n v="0.59"/>
    <n v="1"/>
    <n v="319"/>
    <n v="5"/>
    <x v="3"/>
  </r>
  <r>
    <s v="Vacation Home in Albany"/>
    <s v="Stephanie"/>
    <x v="11"/>
    <n v="42.645330146003197"/>
    <n v="-73.789131045637006"/>
    <x v="0"/>
    <x v="186"/>
    <n v="2"/>
    <n v="51"/>
    <d v="2026-05-25T00:00:00"/>
    <n v="3.36"/>
    <n v="1"/>
    <n v="214"/>
    <n v="36"/>
    <x v="3"/>
  </r>
  <r>
    <s v="Capital Comfort Stay"/>
    <s v="Cecilia"/>
    <x v="12"/>
    <n v="42.661593722653599"/>
    <n v="-73.754399565118206"/>
    <x v="0"/>
    <x v="63"/>
    <n v="1"/>
    <n v="57"/>
    <d v="2026-06-14T00:00:00"/>
    <n v="3.74"/>
    <n v="1"/>
    <n v="318"/>
    <n v="48"/>
    <x v="2"/>
  </r>
  <r>
    <s v="Lovely located 2 bdrm - Steps - Dwntwn &amp; Hospitals"/>
    <s v="Kody"/>
    <x v="8"/>
    <n v="42.6602362124856"/>
    <n v="-73.757779949081794"/>
    <x v="0"/>
    <x v="95"/>
    <n v="14"/>
    <n v="0"/>
    <m/>
    <n v="0"/>
    <n v="4"/>
    <n v="274"/>
    <n v="0"/>
    <x v="0"/>
  </r>
  <r>
    <s v="Near Hospitals: Home w/ Yard in Albany!"/>
    <s v="Evolve"/>
    <x v="13"/>
    <n v="42.639626519419302"/>
    <n v="-73.773308008159404"/>
    <x v="0"/>
    <x v="187"/>
    <n v="2"/>
    <n v="1"/>
    <d v="2025-10-18T00:00:00"/>
    <n v="0.12"/>
    <n v="4"/>
    <n v="361"/>
    <n v="1"/>
    <x v="1"/>
  </r>
  <r>
    <s v="Central cozy 4 bedroom w/King bed"/>
    <s v="Emily"/>
    <x v="6"/>
    <n v="42.663154024794601"/>
    <n v="-73.789101237433499"/>
    <x v="0"/>
    <x v="188"/>
    <n v="28"/>
    <n v="1"/>
    <d v="2025-08-04T00:00:00"/>
    <n v="0.09"/>
    <n v="13"/>
    <n v="169"/>
    <n v="1"/>
    <x v="2"/>
  </r>
  <r>
    <s v="Walk to Albany Med, MVP Arena, Washington Park"/>
    <s v="Vander"/>
    <x v="1"/>
    <n v="42.650406026844202"/>
    <n v="-73.764331850786306"/>
    <x v="0"/>
    <x v="21"/>
    <n v="1"/>
    <n v="97"/>
    <d v="2026-06-15T00:00:00"/>
    <n v="6.66"/>
    <n v="1"/>
    <n v="305"/>
    <n v="81"/>
    <x v="2"/>
  </r>
  <r>
    <s v="Family Home|Playground|Fire Pit|Driveway|Movies"/>
    <s v="Liza"/>
    <x v="3"/>
    <n v="42.670569999999998"/>
    <n v="-73.809389999999993"/>
    <x v="0"/>
    <x v="186"/>
    <n v="1"/>
    <n v="38"/>
    <d v="2026-06-12T00:00:00"/>
    <n v="3.43"/>
    <n v="1"/>
    <n v="287"/>
    <n v="38"/>
    <x v="3"/>
  </r>
  <r>
    <s v="A peaceful home away from home"/>
    <s v="Samantha"/>
    <x v="3"/>
    <n v="42.665984112297203"/>
    <n v="-73.818800970911894"/>
    <x v="0"/>
    <x v="189"/>
    <n v="7"/>
    <n v="3"/>
    <d v="2025-11-01T00:00:00"/>
    <n v="0.23"/>
    <n v="1"/>
    <n v="68"/>
    <n v="2"/>
    <x v="1"/>
  </r>
  <r>
    <s v="Cozy Sunshine"/>
    <s v="Etem"/>
    <x v="9"/>
    <n v="42.647644086043599"/>
    <n v="-73.771592538366406"/>
    <x v="0"/>
    <x v="155"/>
    <n v="1"/>
    <n v="13"/>
    <d v="2026-03-11T00:00:00"/>
    <n v="0.88"/>
    <n v="8"/>
    <n v="209"/>
    <n v="11"/>
    <x v="2"/>
  </r>
  <r>
    <s v="Cozy Sunset"/>
    <s v="Etem"/>
    <x v="9"/>
    <n v="42.646286692808097"/>
    <n v="-73.771530889140294"/>
    <x v="0"/>
    <x v="155"/>
    <n v="1"/>
    <n v="47"/>
    <d v="2026-05-15T00:00:00"/>
    <n v="3.12"/>
    <n v="8"/>
    <n v="301"/>
    <n v="38"/>
    <x v="2"/>
  </r>
  <r>
    <s v="Elegant Albany Home Next Downtown W/Free Breakfast"/>
    <s v="â¨Premier Stay Co.â©"/>
    <x v="5"/>
    <n v="42.6823168458398"/>
    <n v="-73.783671562819407"/>
    <x v="0"/>
    <x v="109"/>
    <n v="1"/>
    <n v="17"/>
    <d v="2026-03-07T00:00:00"/>
    <n v="1.1499999999999999"/>
    <n v="29"/>
    <n v="363"/>
    <n v="11"/>
    <x v="0"/>
  </r>
  <r>
    <s v="Cozy Home 5 STAR AREA W/Parking"/>
    <s v="Chris"/>
    <x v="3"/>
    <n v="42.661909999999999"/>
    <n v="-73.797441199999994"/>
    <x v="0"/>
    <x v="190"/>
    <n v="1"/>
    <n v="62"/>
    <d v="2026-06-15T00:00:00"/>
    <n v="5.31"/>
    <n v="1"/>
    <n v="356"/>
    <n v="62"/>
    <x v="1"/>
  </r>
  <r>
    <s v="New Large Bedroom! Has Parking!"/>
    <s v="Alain"/>
    <x v="7"/>
    <n v="42.660020000000003"/>
    <n v="-73.793329999999997"/>
    <x v="1"/>
    <x v="104"/>
    <n v="8"/>
    <n v="1"/>
    <d v="2025-05-15T00:00:00"/>
    <n v="0.08"/>
    <n v="3"/>
    <n v="258"/>
    <n v="0"/>
    <x v="0"/>
  </r>
  <r>
    <s v="Albany Cozy Room Next to downtown W/breakfast"/>
    <s v="â¨Premier Stay Co.â©"/>
    <x v="8"/>
    <n v="42.6765214854736"/>
    <n v="-73.781113838439893"/>
    <x v="0"/>
    <x v="153"/>
    <n v="1"/>
    <n v="12"/>
    <d v="2026-05-09T00:00:00"/>
    <n v="0.84"/>
    <n v="29"/>
    <n v="363"/>
    <n v="10"/>
    <x v="0"/>
  </r>
  <r>
    <s v="New Bedroom! Centrally located, Includes Laundry!"/>
    <s v="Alain"/>
    <x v="7"/>
    <n v="42.659475284293897"/>
    <n v="-73.793681200123302"/>
    <x v="1"/>
    <x v="191"/>
    <n v="7"/>
    <n v="5"/>
    <d v="2025-12-20T00:00:00"/>
    <n v="0.36"/>
    <n v="3"/>
    <n v="271"/>
    <n v="3"/>
    <x v="0"/>
  </r>
  <r>
    <s v="The Small Yellow Room with twin bed /tv"/>
    <s v="F S"/>
    <x v="10"/>
    <n v="42.669917189343998"/>
    <n v="-73.7863292718624"/>
    <x v="1"/>
    <x v="192"/>
    <n v="5"/>
    <n v="4"/>
    <d v="2026-05-29T00:00:00"/>
    <n v="0.4"/>
    <n v="5"/>
    <n v="319"/>
    <n v="4"/>
    <x v="0"/>
  </r>
  <r>
    <s v="New Bedroom Centrally Located! Parking &amp; Laundry"/>
    <s v="Alain"/>
    <x v="3"/>
    <n v="42.661116057130798"/>
    <n v="-73.794081395516301"/>
    <x v="1"/>
    <x v="163"/>
    <n v="28"/>
    <n v="3"/>
    <d v="2025-08-30T00:00:00"/>
    <n v="0.25"/>
    <n v="3"/>
    <n v="257"/>
    <n v="3"/>
    <x v="0"/>
  </r>
  <r>
    <s v="4 bedroom house with all the amenities"/>
    <s v="Fabiola"/>
    <x v="6"/>
    <n v="42.660529099999998"/>
    <n v="-73.7831549"/>
    <x v="0"/>
    <x v="193"/>
    <n v="14"/>
    <n v="2"/>
    <d v="2025-08-10T00:00:00"/>
    <n v="0.17"/>
    <n v="8"/>
    <n v="359"/>
    <n v="2"/>
    <x v="2"/>
  </r>
  <r>
    <s v="Room near SUNY Albany and 4 minutes from AMC"/>
    <s v="Fabiola"/>
    <x v="6"/>
    <n v="42.659903296506002"/>
    <n v="-73.782573974358797"/>
    <x v="1"/>
    <x v="179"/>
    <n v="28"/>
    <n v="0"/>
    <m/>
    <n v="0"/>
    <n v="8"/>
    <n v="305"/>
    <n v="0"/>
    <x v="0"/>
  </r>
  <r>
    <s v="Albany Getaway Near Brewery District"/>
    <s v="Paul"/>
    <x v="12"/>
    <n v="42.6722593044463"/>
    <n v="-73.739051990553804"/>
    <x v="0"/>
    <x v="47"/>
    <n v="2"/>
    <n v="7"/>
    <d v="2026-06-05T00:00:00"/>
    <n v="0.72"/>
    <n v="1"/>
    <n v="57"/>
    <n v="7"/>
    <x v="2"/>
  </r>
  <r>
    <s v="Downtown ALB â€¢ Hot Tub â€¢ Game Room â€¢ Free Parking"/>
    <s v="Yasiel"/>
    <x v="0"/>
    <n v="42.656649999999999"/>
    <n v="-73.748679999999993"/>
    <x v="0"/>
    <x v="194"/>
    <n v="2"/>
    <n v="22"/>
    <d v="2026-05-28T00:00:00"/>
    <n v="2.14"/>
    <n v="1"/>
    <n v="241"/>
    <n v="22"/>
    <x v="4"/>
  </r>
  <r>
    <s v="/Purple Potty\3bed1ba Apartment"/>
    <s v="Joseph"/>
    <x v="10"/>
    <n v="42.669159851758003"/>
    <n v="-73.785287940569006"/>
    <x v="0"/>
    <x v="195"/>
    <n v="2"/>
    <n v="4"/>
    <d v="2025-08-31T00:00:00"/>
    <n v="0.36"/>
    <n v="3"/>
    <n v="350"/>
    <n v="4"/>
    <x v="1"/>
  </r>
  <r>
    <s v="Charming, Spacious Apt Downtown Albany"/>
    <s v="Amar"/>
    <x v="0"/>
    <n v="42.657920787048802"/>
    <n v="-73.750265664186898"/>
    <x v="0"/>
    <x v="165"/>
    <n v="1"/>
    <n v="1"/>
    <d v="2026-02-22T00:00:00"/>
    <n v="0.25"/>
    <n v="2"/>
    <n v="110"/>
    <n v="1"/>
    <x v="2"/>
  </r>
  <r>
    <s v="Albany Cozy Suite Close to Downtown with Breakfast"/>
    <s v="â¨Premier Stay Co.â©"/>
    <x v="5"/>
    <n v="42.682246872011902"/>
    <n v="-73.7833838965892"/>
    <x v="0"/>
    <x v="90"/>
    <n v="1"/>
    <n v="21"/>
    <d v="2026-05-29T00:00:00"/>
    <n v="1.68"/>
    <n v="29"/>
    <n v="364"/>
    <n v="20"/>
    <x v="0"/>
  </r>
  <r>
    <s v="Stylish Albany Room W/Breakfast Next to Downtown."/>
    <s v="â¨Premier Stay Co.â©"/>
    <x v="5"/>
    <n v="42.6805255653016"/>
    <n v="-73.785246163893802"/>
    <x v="0"/>
    <x v="178"/>
    <n v="1"/>
    <n v="7"/>
    <d v="2025-11-21T00:00:00"/>
    <n v="0.62"/>
    <n v="29"/>
    <n v="358"/>
    <n v="7"/>
    <x v="0"/>
  </r>
  <r>
    <s v="Cozy apartment in beautiful Downtown Albany"/>
    <s v="Nathan"/>
    <x v="1"/>
    <n v="42.654226973975703"/>
    <n v="-73.767203907360695"/>
    <x v="0"/>
    <x v="196"/>
    <n v="2"/>
    <n v="29"/>
    <d v="2026-06-09T00:00:00"/>
    <n v="2.4300000000000002"/>
    <n v="2"/>
    <n v="243"/>
    <n v="29"/>
    <x v="2"/>
  </r>
  <r>
    <s v="Timelessly Restored 2-Bed Fl 2 Apt @DowntownAlbany"/>
    <s v="Earl Vanze"/>
    <x v="2"/>
    <n v="42.644390000000001"/>
    <n v="-73.752960000000002"/>
    <x v="0"/>
    <x v="197"/>
    <n v="1"/>
    <n v="35"/>
    <d v="2026-05-24T00:00:00"/>
    <n v="2.91"/>
    <n v="11"/>
    <n v="167"/>
    <n v="35"/>
    <x v="1"/>
  </r>
  <r>
    <s v="Room close to AMed and St peters"/>
    <s v="Umit"/>
    <x v="6"/>
    <n v="42.660350000000001"/>
    <n v="-73.782960000000003"/>
    <x v="1"/>
    <x v="198"/>
    <n v="3"/>
    <n v="2"/>
    <d v="2025-07-30T00:00:00"/>
    <n v="0.17"/>
    <n v="1"/>
    <n v="365"/>
    <n v="2"/>
    <x v="0"/>
  </r>
  <r>
    <s v="/Red Den Apartment\3bed1bath"/>
    <s v="Joseph"/>
    <x v="10"/>
    <n v="42.669510000000002"/>
    <n v="-73.787360000000007"/>
    <x v="0"/>
    <x v="189"/>
    <n v="2"/>
    <n v="3"/>
    <d v="2025-11-28T00:00:00"/>
    <n v="0.27"/>
    <n v="3"/>
    <n v="361"/>
    <n v="3"/>
    <x v="1"/>
  </r>
  <r>
    <s v="Comfy &amp; Convenient 2-Bed Fl 1 Apt @DowntownAlbany"/>
    <s v="Earl Vanze"/>
    <x v="2"/>
    <n v="42.645870000000002"/>
    <n v="-73.753559999999993"/>
    <x v="0"/>
    <x v="55"/>
    <n v="1"/>
    <n v="15"/>
    <d v="2026-03-30T00:00:00"/>
    <n v="1.3"/>
    <n v="11"/>
    <n v="353"/>
    <n v="15"/>
    <x v="2"/>
  </r>
  <r>
    <s v="A charming apartment."/>
    <s v="Jeffrey"/>
    <x v="2"/>
    <n v="42.645350000000001"/>
    <n v="-73.756780000000006"/>
    <x v="0"/>
    <x v="37"/>
    <n v="1"/>
    <n v="88"/>
    <d v="2026-06-14T00:00:00"/>
    <n v="8.07"/>
    <n v="2"/>
    <n v="319"/>
    <n v="88"/>
    <x v="0"/>
  </r>
  <r>
    <s v="Spacious convenient to Hospital and capital"/>
    <s v="Jeffrey"/>
    <x v="2"/>
    <n v="42.645104811339401"/>
    <n v="-73.757121133797099"/>
    <x v="0"/>
    <x v="37"/>
    <n v="1"/>
    <n v="84"/>
    <d v="2026-06-07T00:00:00"/>
    <n v="7.54"/>
    <n v="2"/>
    <n v="323"/>
    <n v="84"/>
    <x v="0"/>
  </r>
  <r>
    <s v="Cozy Monthly | Pvt | W/D | Pets"/>
    <s v="Jessica"/>
    <x v="7"/>
    <n v="42.656157800000003"/>
    <n v="-73.792112599999996"/>
    <x v="0"/>
    <x v="128"/>
    <n v="31"/>
    <n v="2"/>
    <d v="2026-03-02T00:00:00"/>
    <n v="0.28999999999999998"/>
    <n v="2"/>
    <n v="70"/>
    <n v="2"/>
    <x v="2"/>
  </r>
  <r>
    <s v="Albany Cozy Stay W/Breakfast Close to Downtown"/>
    <s v="â¨Premier Stay Co.â©"/>
    <x v="8"/>
    <n v="42.676189999999998"/>
    <n v="-73.781210000000002"/>
    <x v="0"/>
    <x v="199"/>
    <n v="1"/>
    <n v="3"/>
    <d v="2026-02-08T00:00:00"/>
    <n v="0.28000000000000003"/>
    <n v="29"/>
    <n v="365"/>
    <n v="3"/>
    <x v="0"/>
  </r>
  <r>
    <s v="Albany Cozy Room W/Breakfast Next to Downtown"/>
    <s v="â¨Premier Stay Co.â©"/>
    <x v="8"/>
    <n v="42.676389999999998"/>
    <n v="-73.780860000000004"/>
    <x v="0"/>
    <x v="137"/>
    <n v="1"/>
    <n v="15"/>
    <d v="2026-05-17T00:00:00"/>
    <n v="1.35"/>
    <n v="29"/>
    <n v="363"/>
    <n v="15"/>
    <x v="0"/>
  </r>
  <r>
    <s v="Albany Cozy room W/Breakfast Close to Downtown"/>
    <s v="â¨Premier Stay Co.â©"/>
    <x v="8"/>
    <n v="42.676119999999997"/>
    <n v="-73.780919999999995"/>
    <x v="0"/>
    <x v="105"/>
    <n v="1"/>
    <n v="21"/>
    <d v="2026-03-18T00:00:00"/>
    <n v="1.81"/>
    <n v="29"/>
    <n v="361"/>
    <n v="21"/>
    <x v="2"/>
  </r>
  <r>
    <s v="Charming 1 Bedroom House"/>
    <s v="Erion"/>
    <x v="6"/>
    <n v="42.6635558481141"/>
    <n v="-73.793458886527702"/>
    <x v="0"/>
    <x v="3"/>
    <n v="1"/>
    <n v="7"/>
    <d v="2026-05-02T00:00:00"/>
    <n v="0.62"/>
    <n v="16"/>
    <n v="353"/>
    <n v="7"/>
    <x v="2"/>
  </r>
  <r>
    <s v="The Dove: A Peaceful Large Studio Private Bathroom"/>
    <s v="Roland"/>
    <x v="3"/>
    <n v="42.667700000000004"/>
    <n v="-73.800229999999999"/>
    <x v="0"/>
    <x v="108"/>
    <n v="5"/>
    <n v="24"/>
    <d v="2026-05-26T00:00:00"/>
    <n v="2.14"/>
    <n v="5"/>
    <n v="300"/>
    <n v="24"/>
    <x v="0"/>
  </r>
  <r>
    <s v="Historic Downtown Albany 2 Bdrm"/>
    <s v="Angela"/>
    <x v="2"/>
    <n v="42.646039999999999"/>
    <n v="-73.754189999999994"/>
    <x v="0"/>
    <x v="200"/>
    <n v="1"/>
    <n v="17"/>
    <d v="2026-06-14T00:00:00"/>
    <n v="1.54"/>
    <n v="3"/>
    <n v="83"/>
    <n v="17"/>
    <x v="3"/>
  </r>
  <r>
    <s v="2BR w/ Parking + deck - Near Downtown &amp; MVP Arena"/>
    <s v="Andres"/>
    <x v="2"/>
    <n v="42.644030000000001"/>
    <n v="-73.758529999999993"/>
    <x v="0"/>
    <x v="146"/>
    <n v="1"/>
    <n v="52"/>
    <d v="2026-06-14T00:00:00"/>
    <n v="4.8"/>
    <n v="2"/>
    <n v="322"/>
    <n v="52"/>
    <x v="2"/>
  </r>
  <r>
    <s v="2BR w/ Parking + Deck â€¢ Near MVP Arena"/>
    <s v="Andres"/>
    <x v="2"/>
    <n v="42.644910000000003"/>
    <n v="-73.759399999999999"/>
    <x v="0"/>
    <x v="146"/>
    <n v="1"/>
    <n v="38"/>
    <d v="2026-06-14T00:00:00"/>
    <n v="3.54"/>
    <n v="2"/>
    <n v="343"/>
    <n v="38"/>
    <x v="2"/>
  </r>
  <r>
    <s v="Downtown Living Space"/>
    <s v="Stephanie"/>
    <x v="0"/>
    <n v="42.657040000000002"/>
    <n v="-73.751670000000004"/>
    <x v="0"/>
    <x v="201"/>
    <n v="14"/>
    <n v="0"/>
    <m/>
    <n v="0"/>
    <n v="2"/>
    <n v="350"/>
    <n v="0"/>
    <x v="2"/>
  </r>
  <r>
    <s v="Albany Luxury Room W/Breakfast Next to Downtown"/>
    <s v="â¨Premier Stay Co.â©"/>
    <x v="8"/>
    <n v="42.676270000000002"/>
    <n v="-73.782259999999994"/>
    <x v="0"/>
    <x v="107"/>
    <n v="1"/>
    <n v="6"/>
    <d v="2026-05-09T00:00:00"/>
    <n v="0.63"/>
    <n v="29"/>
    <n v="360"/>
    <n v="6"/>
    <x v="0"/>
  </r>
  <r>
    <s v="Albany Central Room W/Breakfast Next to Downtown"/>
    <s v="â¨Premier Stay Co.â©"/>
    <x v="5"/>
    <n v="42.680226031526402"/>
    <n v="-73.783368808408198"/>
    <x v="0"/>
    <x v="2"/>
    <n v="1"/>
    <n v="5"/>
    <d v="2026-05-30T00:00:00"/>
    <n v="0.56000000000000005"/>
    <n v="29"/>
    <n v="360"/>
    <n v="5"/>
    <x v="0"/>
  </r>
  <r>
    <s v="The Madison- Work Friendly Apt with Parking"/>
    <s v="Stephanie"/>
    <x v="1"/>
    <n v="42.651161201755698"/>
    <n v="-73.764894939959007"/>
    <x v="0"/>
    <x v="202"/>
    <n v="2"/>
    <n v="2"/>
    <d v="2026-02-26T00:00:00"/>
    <n v="0.49"/>
    <n v="3"/>
    <n v="290"/>
    <n v="2"/>
    <x v="2"/>
  </r>
  <r>
    <s v="Bright &amp; Airy 1 BDRM Private Apt"/>
    <s v="Linda"/>
    <x v="12"/>
    <n v="42.657910000000001"/>
    <n v="-73.746690000000001"/>
    <x v="0"/>
    <x v="129"/>
    <n v="1"/>
    <n v="13"/>
    <d v="2026-05-09T00:00:00"/>
    <n v="1.2"/>
    <n v="16"/>
    <n v="352"/>
    <n v="13"/>
    <x v="2"/>
  </r>
  <r>
    <s v="Slate private queen room near AMC"/>
    <s v="Emily"/>
    <x v="6"/>
    <n v="42.662950000000002"/>
    <n v="-73.78792"/>
    <x v="1"/>
    <x v="152"/>
    <n v="4"/>
    <n v="2"/>
    <d v="2025-09-16T00:00:00"/>
    <n v="0.19"/>
    <n v="13"/>
    <n v="50"/>
    <n v="2"/>
    <x v="0"/>
  </r>
  <r>
    <s v="Silver private queen room, central location"/>
    <s v="Emily"/>
    <x v="6"/>
    <n v="42.662416179675603"/>
    <n v="-73.788379609279403"/>
    <x v="1"/>
    <x v="41"/>
    <n v="5"/>
    <n v="1"/>
    <d v="2025-11-02T00:00:00"/>
    <n v="0.13"/>
    <n v="13"/>
    <n v="114"/>
    <n v="1"/>
    <x v="0"/>
  </r>
  <r>
    <s v="Ivory private queen, walk to AMC"/>
    <s v="Emily"/>
    <x v="6"/>
    <n v="42.663258144541601"/>
    <n v="-73.789826695591401"/>
    <x v="1"/>
    <x v="199"/>
    <n v="21"/>
    <n v="2"/>
    <d v="2026-02-16T00:00:00"/>
    <n v="0.36"/>
    <n v="13"/>
    <n v="36"/>
    <n v="2"/>
    <x v="0"/>
  </r>
  <r>
    <s v="Sienna private queen near AMC"/>
    <s v="Emily"/>
    <x v="6"/>
    <n v="42.662322934801701"/>
    <n v="-73.787713910873705"/>
    <x v="1"/>
    <x v="203"/>
    <n v="28"/>
    <n v="2"/>
    <d v="2026-02-12T00:00:00"/>
    <n v="0.19"/>
    <n v="13"/>
    <n v="102"/>
    <n v="2"/>
    <x v="0"/>
  </r>
  <r>
    <s v="Downtown Luxe- Steps to MVP Arena &amp; NYS Capital"/>
    <s v="Jonathan"/>
    <x v="0"/>
    <n v="42.6498098"/>
    <n v="-73.753256499999907"/>
    <x v="0"/>
    <x v="193"/>
    <n v="2"/>
    <n v="11"/>
    <d v="2026-03-01T00:00:00"/>
    <n v="1.0900000000000001"/>
    <n v="1"/>
    <n v="164"/>
    <n v="11"/>
    <x v="2"/>
  </r>
  <r>
    <s v="Ontario's Luxe House"/>
    <s v="Nori"/>
    <x v="7"/>
    <n v="42.655470000000001"/>
    <n v="-73.789490000000001"/>
    <x v="0"/>
    <x v="204"/>
    <n v="1"/>
    <n v="58"/>
    <d v="2026-06-07T00:00:00"/>
    <n v="5.94"/>
    <n v="3"/>
    <n v="315"/>
    <n v="58"/>
    <x v="3"/>
  </r>
  <r>
    <s v="Spacious 4br home near hospitals, schools"/>
    <s v="Emily"/>
    <x v="6"/>
    <n v="42.663440000000001"/>
    <n v="-73.787520000000001"/>
    <x v="0"/>
    <x v="3"/>
    <n v="28"/>
    <n v="0"/>
    <m/>
    <n v="0"/>
    <n v="13"/>
    <n v="102"/>
    <n v="0"/>
    <x v="2"/>
  </r>
  <r>
    <s v="Central Albany Retreat | Walk Everywhere + Parking"/>
    <s v="Ming"/>
    <x v="1"/>
    <n v="42.652377899999998"/>
    <n v="-73.7671603"/>
    <x v="0"/>
    <x v="3"/>
    <n v="1"/>
    <n v="36"/>
    <d v="2026-06-07T00:00:00"/>
    <n v="3.75"/>
    <n v="7"/>
    <n v="345"/>
    <n v="36"/>
    <x v="2"/>
  </r>
  <r>
    <s v="Albany Elegant room with Breakfast Next Downtown"/>
    <s v="â¨Premier Stay Co.â©"/>
    <x v="5"/>
    <n v="42.678080000000001"/>
    <n v="-73.782079999999993"/>
    <x v="0"/>
    <x v="153"/>
    <n v="1"/>
    <n v="5"/>
    <d v="2026-05-01T00:00:00"/>
    <n v="0.59"/>
    <n v="29"/>
    <n v="363"/>
    <n v="5"/>
    <x v="0"/>
  </r>
  <r>
    <s v="Albany Cozy Room Next to Downtown With Breakfast"/>
    <s v="â¨Premier Stay Co.â©"/>
    <x v="8"/>
    <n v="42.675801777825001"/>
    <n v="-73.7803687491121"/>
    <x v="0"/>
    <x v="199"/>
    <n v="1"/>
    <n v="2"/>
    <d v="2025-10-19T00:00:00"/>
    <n v="0.23"/>
    <n v="29"/>
    <n v="359"/>
    <n v="2"/>
    <x v="0"/>
  </r>
  <r>
    <s v="Albany Cozy Home with Breakfast Next to Downtown"/>
    <s v="â¨Premier Stay Co.â©"/>
    <x v="8"/>
    <n v="42.67736"/>
    <n v="-73.781080000000003"/>
    <x v="0"/>
    <x v="109"/>
    <n v="1"/>
    <n v="10"/>
    <d v="2026-04-19T00:00:00"/>
    <n v="0.99"/>
    <n v="29"/>
    <n v="356"/>
    <n v="10"/>
    <x v="0"/>
  </r>
  <r>
    <s v="Albany Modern Home W/Breakfast Minutes to Downtown"/>
    <s v="â¨Premier Stay Co.â©"/>
    <x v="5"/>
    <n v="42.6809405014315"/>
    <n v="-73.784610600044104"/>
    <x v="0"/>
    <x v="137"/>
    <n v="1"/>
    <n v="11"/>
    <d v="2026-04-27T00:00:00"/>
    <n v="1.0900000000000001"/>
    <n v="29"/>
    <n v="357"/>
    <n v="11"/>
    <x v="0"/>
  </r>
  <r>
    <s v="Lovely Albany room with Breakfast Next to Downtown"/>
    <s v="â¨Premier Stay Co.â©"/>
    <x v="5"/>
    <n v="42.682049999999997"/>
    <n v="-73.784599999999998"/>
    <x v="0"/>
    <x v="13"/>
    <n v="1"/>
    <n v="1"/>
    <d v="2026-03-20T00:00:00"/>
    <n v="0.34"/>
    <n v="29"/>
    <n v="365"/>
    <n v="1"/>
    <x v="0"/>
  </r>
  <r>
    <s v="Albany Central room Breakfast minutes to Downtown"/>
    <s v="â¨Premier Stay Co.â©"/>
    <x v="5"/>
    <n v="42.682110000000002"/>
    <n v="-73.783060000000006"/>
    <x v="0"/>
    <x v="109"/>
    <n v="1"/>
    <n v="4"/>
    <d v="2026-05-23T00:00:00"/>
    <n v="0.41"/>
    <n v="29"/>
    <n v="362"/>
    <n v="4"/>
    <x v="0"/>
  </r>
  <r>
    <s v="Apartment in Albany"/>
    <s v="Rachel"/>
    <x v="1"/>
    <n v="42.65334"/>
    <n v="-73.766050000000007"/>
    <x v="0"/>
    <x v="26"/>
    <n v="1"/>
    <n v="47"/>
    <d v="2026-05-03T00:00:00"/>
    <n v="5.2"/>
    <n v="1"/>
    <n v="166"/>
    <n v="47"/>
    <x v="2"/>
  </r>
  <r>
    <s v="Downtown 3BR duplex full kitchen parking off i-787"/>
    <s v="Lee"/>
    <x v="0"/>
    <n v="42.656700000000001"/>
    <n v="-73.75412"/>
    <x v="0"/>
    <x v="205"/>
    <n v="1"/>
    <n v="38"/>
    <d v="2026-05-26T00:00:00"/>
    <n v="6.26"/>
    <n v="1"/>
    <n v="203"/>
    <n v="38"/>
    <x v="1"/>
  </r>
  <r>
    <s v="Cozy Room - Best City Location"/>
    <s v="Danyal"/>
    <x v="1"/>
    <n v="42.6532615125383"/>
    <n v="-73.769809028404495"/>
    <x v="1"/>
    <x v="206"/>
    <n v="2"/>
    <n v="22"/>
    <d v="2026-05-16T00:00:00"/>
    <n v="2.29"/>
    <n v="1"/>
    <n v="71"/>
    <n v="22"/>
    <x v="0"/>
  </r>
  <r>
    <s v="Elegant 1BR in Historic Center Square, Albany"/>
    <s v="Elizabeth"/>
    <x v="1"/>
    <n v="42.654789999999998"/>
    <n v="-73.762739999999994"/>
    <x v="0"/>
    <x v="207"/>
    <n v="30"/>
    <n v="0"/>
    <m/>
    <n v="0"/>
    <n v="11"/>
    <n v="365"/>
    <n v="0"/>
    <x v="0"/>
  </r>
  <r>
    <s v="Cozy Teal Retreat | 1 Mile Albany Medical &amp; VA Med"/>
    <s v="Nathan"/>
    <x v="9"/>
    <n v="42.641660000000002"/>
    <n v="-73.784239999999997"/>
    <x v="1"/>
    <x v="70"/>
    <n v="1"/>
    <n v="3"/>
    <d v="2026-05-09T00:00:00"/>
    <n v="0.33"/>
    <n v="1"/>
    <n v="136"/>
    <n v="3"/>
    <x v="2"/>
  </r>
  <r>
    <s v="Large Studio Downtown with Pool Table"/>
    <s v="Traverse"/>
    <x v="1"/>
    <n v="42.652940000000001"/>
    <n v="-73.765110000000007"/>
    <x v="0"/>
    <x v="3"/>
    <n v="1"/>
    <n v="0"/>
    <m/>
    <n v="0"/>
    <n v="6"/>
    <n v="359"/>
    <n v="0"/>
    <x v="2"/>
  </r>
  <r>
    <s v="Large 1 bedroom downtown!"/>
    <s v="Traverse"/>
    <x v="12"/>
    <n v="42.674106128151202"/>
    <n v="-73.750677670169907"/>
    <x v="0"/>
    <x v="48"/>
    <n v="2"/>
    <n v="1"/>
    <d v="2026-03-26T00:00:00"/>
    <n v="0.36"/>
    <n v="6"/>
    <n v="135"/>
    <n v="1"/>
    <x v="2"/>
  </r>
  <r>
    <s v="Spacious Downtown 1BR Cozy Apartment!"/>
    <s v="Traverse"/>
    <x v="1"/>
    <n v="42.655619999999999"/>
    <n v="-73.764449999999997"/>
    <x v="0"/>
    <x v="166"/>
    <n v="2"/>
    <n v="0"/>
    <m/>
    <n v="0"/>
    <n v="6"/>
    <n v="358"/>
    <n v="0"/>
    <x v="2"/>
  </r>
  <r>
    <s v="Spacious Studio | Downtown"/>
    <s v="Traverse"/>
    <x v="1"/>
    <n v="42.654260000000001"/>
    <n v="-73.763080000000002"/>
    <x v="0"/>
    <x v="161"/>
    <n v="2"/>
    <n v="1"/>
    <d v="2026-03-10T00:00:00"/>
    <n v="0.3"/>
    <n v="6"/>
    <n v="359"/>
    <n v="1"/>
    <x v="2"/>
  </r>
  <r>
    <s v="Very Comfortable Studio Downtown"/>
    <s v="Traverse"/>
    <x v="1"/>
    <n v="42.652279999999998"/>
    <n v="-73.76491"/>
    <x v="0"/>
    <x v="27"/>
    <n v="2"/>
    <n v="0"/>
    <m/>
    <n v="0"/>
    <n v="6"/>
    <n v="361"/>
    <n v="0"/>
    <x v="2"/>
  </r>
  <r>
    <s v="Downtown Cozy Studio - Comfy &amp; Clean!"/>
    <s v="Traverse"/>
    <x v="1"/>
    <n v="42.653030000000001"/>
    <n v="-73.761009999999999"/>
    <x v="0"/>
    <x v="208"/>
    <n v="2"/>
    <n v="0"/>
    <m/>
    <n v="0"/>
    <n v="6"/>
    <n v="358"/>
    <n v="0"/>
    <x v="1"/>
  </r>
  <r>
    <s v="Stylish 3BR Stay Near Albany Medical Center"/>
    <s v="Elizabeth"/>
    <x v="7"/>
    <n v="42.655270000000002"/>
    <n v="-73.785849999999996"/>
    <x v="0"/>
    <x v="175"/>
    <n v="7"/>
    <n v="1"/>
    <d v="2025-12-19T00:00:00"/>
    <n v="0.17"/>
    <n v="11"/>
    <n v="339"/>
    <n v="1"/>
    <x v="2"/>
  </r>
  <r>
    <s v="Spacious 4BR Home Near Hospitals â€¢ FREE Parking"/>
    <s v="Kotun"/>
    <x v="6"/>
    <n v="42.658410000000003"/>
    <n v="-73.783209999999997"/>
    <x v="0"/>
    <x v="209"/>
    <n v="1"/>
    <n v="32"/>
    <d v="2026-06-15T00:00:00"/>
    <n v="6.19"/>
    <n v="1"/>
    <n v="320"/>
    <n v="32"/>
    <x v="3"/>
  </r>
  <r>
    <s v="Modern Albany Room Next to Downtown with Breakfast"/>
    <s v="â¨Premier Stay Co.â©"/>
    <x v="5"/>
    <n v="42.681699999999999"/>
    <n v="-73.784390000000002"/>
    <x v="0"/>
    <x v="210"/>
    <n v="1"/>
    <n v="5"/>
    <d v="2026-04-25T00:00:00"/>
    <n v="0.6"/>
    <n v="29"/>
    <n v="365"/>
    <n v="5"/>
    <x v="2"/>
  </r>
  <r>
    <s v="Suite One - 1 Bedroom Apartment"/>
    <s v="Erion"/>
    <x v="1"/>
    <n v="42.653930000000003"/>
    <n v="-73.769300000000001"/>
    <x v="0"/>
    <x v="211"/>
    <n v="1"/>
    <n v="13"/>
    <d v="2026-05-24T00:00:00"/>
    <n v="1.78"/>
    <n v="16"/>
    <n v="329"/>
    <n v="13"/>
    <x v="2"/>
  </r>
  <r>
    <s v="Historic Brick City Center Glow"/>
    <s v="JNM Living Spaces"/>
    <x v="1"/>
    <n v="42.653233540771701"/>
    <n v="-73.767179511487399"/>
    <x v="0"/>
    <x v="52"/>
    <n v="1"/>
    <n v="3"/>
    <d v="2026-04-13T00:00:00"/>
    <n v="0.38"/>
    <n v="2"/>
    <n v="330"/>
    <n v="3"/>
    <x v="1"/>
  </r>
  <r>
    <s v="Bright, Clean, Convenient. Close to Albany Med."/>
    <s v="Meredith"/>
    <x v="7"/>
    <n v="42.655391994210497"/>
    <n v="-73.792231617409996"/>
    <x v="1"/>
    <x v="212"/>
    <n v="1"/>
    <n v="0"/>
    <m/>
    <n v="0"/>
    <n v="2"/>
    <n v="125"/>
    <n v="0"/>
    <x v="2"/>
  </r>
  <r>
    <s v="ParkSide Retreat - 2 BDR with Off Street Parking"/>
    <s v="Erion"/>
    <x v="1"/>
    <n v="42.654200000000003"/>
    <n v="-73.771280000000004"/>
    <x v="0"/>
    <x v="158"/>
    <n v="1"/>
    <n v="27"/>
    <d v="2026-06-01T00:00:00"/>
    <n v="3.25"/>
    <n v="16"/>
    <n v="324"/>
    <n v="27"/>
    <x v="1"/>
  </r>
  <r>
    <s v="Charming 2 BR home in Albany"/>
    <s v="Rebecca"/>
    <x v="11"/>
    <n v="42.642732215973801"/>
    <n v="-73.792087736185096"/>
    <x v="0"/>
    <x v="213"/>
    <n v="1"/>
    <n v="53"/>
    <d v="2026-06-02T00:00:00"/>
    <n v="6.6"/>
    <n v="1"/>
    <n v="282"/>
    <n v="53"/>
    <x v="2"/>
  </r>
  <r>
    <s v="Midtown Retreat!"/>
    <s v="AnnMarie"/>
    <x v="7"/>
    <n v="42.647239999999996"/>
    <n v="-73.791259999999994"/>
    <x v="1"/>
    <x v="139"/>
    <n v="1"/>
    <n v="12"/>
    <d v="2026-06-14T00:00:00"/>
    <n v="1.49"/>
    <n v="1"/>
    <n v="323"/>
    <n v="12"/>
    <x v="2"/>
  </r>
  <r>
    <s v="Welcome to Albany! Close to Hospitals and Shops."/>
    <s v="Meredith"/>
    <x v="7"/>
    <n v="42.656019999999998"/>
    <n v="-73.790930000000003"/>
    <x v="1"/>
    <x v="214"/>
    <n v="1"/>
    <n v="1"/>
    <d v="2026-05-17T00:00:00"/>
    <n v="1"/>
    <n v="2"/>
    <n v="313"/>
    <n v="1"/>
    <x v="0"/>
  </r>
  <r>
    <s v="Cozy Albany room with Breakfast Next to Downtown"/>
    <s v="â¨Premier Stay Co.â©"/>
    <x v="5"/>
    <n v="42.68018"/>
    <n v="-73.783749999999998"/>
    <x v="0"/>
    <x v="26"/>
    <n v="1"/>
    <n v="12"/>
    <d v="2026-05-24T00:00:00"/>
    <n v="1.65"/>
    <n v="29"/>
    <n v="351"/>
    <n v="12"/>
    <x v="2"/>
  </r>
  <r>
    <s v="Elegant Albany Home with Breakfast Close Downtown"/>
    <s v="â¨Premier Stay Co.â©"/>
    <x v="5"/>
    <n v="42.680059999999997"/>
    <n v="-73.784649999999999"/>
    <x v="0"/>
    <x v="215"/>
    <n v="1"/>
    <n v="3"/>
    <d v="2026-03-01T00:00:00"/>
    <n v="0.43"/>
    <n v="29"/>
    <n v="354"/>
    <n v="3"/>
    <x v="2"/>
  </r>
  <r>
    <s v="2 bedrooms, 1 bathroom [HUGE] Furnished apartment"/>
    <s v="Allah"/>
    <x v="13"/>
    <n v="42.636220000000002"/>
    <n v="-73.761520000000004"/>
    <x v="0"/>
    <x v="152"/>
    <n v="1"/>
    <n v="0"/>
    <m/>
    <n v="0"/>
    <n v="1"/>
    <n v="351"/>
    <n v="0"/>
    <x v="0"/>
  </r>
  <r>
    <s v="Hot Tub Patio + 2 Ensuites | Walk to Capitol &amp; MVP"/>
    <s v="Timothy"/>
    <x v="2"/>
    <n v="42.646854310722702"/>
    <n v="-73.758722506463499"/>
    <x v="0"/>
    <x v="216"/>
    <n v="2"/>
    <n v="17"/>
    <d v="2026-05-24T00:00:00"/>
    <n v="3.04"/>
    <n v="3"/>
    <n v="90"/>
    <n v="17"/>
    <x v="4"/>
  </r>
  <r>
    <s v="Stylish renovated 2 bedroom apartment KING bed!"/>
    <s v="Furdowse"/>
    <x v="3"/>
    <n v="42.658832699999998"/>
    <n v="-73.801621699999998"/>
    <x v="0"/>
    <x v="174"/>
    <n v="1"/>
    <n v="13"/>
    <d v="2026-06-09T00:00:00"/>
    <n v="3.94"/>
    <n v="2"/>
    <n v="349"/>
    <n v="13"/>
    <x v="1"/>
  </r>
  <r>
    <s v="'The Morris Home' Private Bedroom 4 / 2 Full Bath"/>
    <s v="Scott"/>
    <x v="6"/>
    <n v="42.661825700000001"/>
    <n v="-73.7869405"/>
    <x v="1"/>
    <x v="134"/>
    <n v="28"/>
    <n v="1"/>
    <d v="2026-05-12T00:00:00"/>
    <n v="0.83"/>
    <n v="21"/>
    <n v="312"/>
    <n v="1"/>
    <x v="0"/>
  </r>
  <r>
    <s v="Urban Micro Loft | Central Albany + Parking"/>
    <s v="Ming"/>
    <x v="1"/>
    <n v="42.653638559002999"/>
    <n v="-73.766035156274995"/>
    <x v="0"/>
    <x v="31"/>
    <n v="1"/>
    <n v="19"/>
    <d v="2026-06-11T00:00:00"/>
    <n v="3.73"/>
    <n v="7"/>
    <n v="341"/>
    <n v="19"/>
    <x v="2"/>
  </r>
  <r>
    <s v="'The Morris Home' Private Bedroom 5 / 2 Full Bath"/>
    <s v="Scott"/>
    <x v="6"/>
    <n v="42.662719138095298"/>
    <n v="-73.787792381253894"/>
    <x v="1"/>
    <x v="134"/>
    <n v="28"/>
    <n v="0"/>
    <m/>
    <n v="0"/>
    <n v="21"/>
    <n v="320"/>
    <n v="0"/>
    <x v="0"/>
  </r>
  <r>
    <s v="Cozy Albany Home with Breakfast Next to Downtown"/>
    <s v="â¨Premier Stay Co.â©"/>
    <x v="5"/>
    <n v="42.679969999999997"/>
    <n v="-73.783869999999993"/>
    <x v="0"/>
    <x v="84"/>
    <n v="1"/>
    <n v="4"/>
    <d v="2026-05-17T00:00:00"/>
    <n v="0.57999999999999996"/>
    <n v="29"/>
    <n v="365"/>
    <n v="4"/>
    <x v="0"/>
  </r>
  <r>
    <s v="Great Two bedroom in Albany NY-Centrally Located"/>
    <s v="Sherra"/>
    <x v="1"/>
    <n v="42.650826799999997"/>
    <n v="-73.766840199999905"/>
    <x v="0"/>
    <x v="40"/>
    <n v="1"/>
    <n v="3"/>
    <d v="2025-12-25T00:00:00"/>
    <n v="0.44"/>
    <n v="1"/>
    <n v="46"/>
    <n v="3"/>
    <x v="2"/>
  </r>
  <r>
    <s v="Lovely &amp; Spacious 3BR by Albany Med"/>
    <s v="Elizabeth"/>
    <x v="7"/>
    <n v="42.656440000000003"/>
    <n v="-73.78689"/>
    <x v="0"/>
    <x v="47"/>
    <n v="14"/>
    <n v="1"/>
    <d v="2026-04-10T00:00:00"/>
    <n v="0.44"/>
    <n v="11"/>
    <n v="357"/>
    <n v="1"/>
    <x v="2"/>
  </r>
  <r>
    <s v="Historic City Center Brick Getaway"/>
    <s v="JNM Living Spaces"/>
    <x v="1"/>
    <n v="42.653880296695696"/>
    <n v="-73.767976498557104"/>
    <x v="0"/>
    <x v="63"/>
    <n v="2"/>
    <n v="4"/>
    <d v="2026-02-26T00:00:00"/>
    <n v="0.86"/>
    <n v="2"/>
    <n v="288"/>
    <n v="4"/>
    <x v="2"/>
  </r>
  <r>
    <s v="Albany Cozy home with Breakfast Next to Downtown"/>
    <s v="â¨Premier Stay Co.â©"/>
    <x v="5"/>
    <n v="42.681370000000001"/>
    <n v="-73.785129999999995"/>
    <x v="0"/>
    <x v="178"/>
    <n v="1"/>
    <n v="14"/>
    <d v="2026-06-01T00:00:00"/>
    <n v="2.88"/>
    <n v="29"/>
    <n v="362"/>
    <n v="14"/>
    <x v="0"/>
  </r>
  <r>
    <s v="Larson Honey"/>
    <s v="Etem"/>
    <x v="1"/>
    <n v="42.651955805017202"/>
    <n v="-73.766967316906005"/>
    <x v="0"/>
    <x v="70"/>
    <n v="1"/>
    <n v="1"/>
    <d v="2026-05-24T00:00:00"/>
    <n v="1"/>
    <n v="8"/>
    <n v="26"/>
    <n v="1"/>
    <x v="2"/>
  </r>
  <r>
    <s v="AMC Traveling Medical Professionals!"/>
    <s v="Victoria"/>
    <x v="7"/>
    <n v="42.655240209912002"/>
    <n v="-73.798110745847197"/>
    <x v="1"/>
    <x v="176"/>
    <n v="1"/>
    <n v="3"/>
    <d v="2026-02-16T00:00:00"/>
    <n v="0.49"/>
    <n v="3"/>
    <n v="67"/>
    <n v="3"/>
    <x v="0"/>
  </r>
  <r>
    <s v="Walk to Albany Med in 5 minutes!"/>
    <s v="Victoria"/>
    <x v="7"/>
    <n v="42.653190000000002"/>
    <n v="-73.783869999999993"/>
    <x v="1"/>
    <x v="7"/>
    <n v="7"/>
    <n v="4"/>
    <d v="2026-06-08T00:00:00"/>
    <n v="0.83"/>
    <n v="3"/>
    <n v="189"/>
    <n v="4"/>
    <x v="0"/>
  </r>
  <r>
    <s v="Albany Central room with Breakfast Next Downtown"/>
    <s v="â¨Premier Stay Co.â©"/>
    <x v="5"/>
    <n v="42.681460000000001"/>
    <n v="-73.78313"/>
    <x v="0"/>
    <x v="207"/>
    <n v="1"/>
    <n v="5"/>
    <d v="2026-05-26T00:00:00"/>
    <n v="1.47"/>
    <n v="29"/>
    <n v="362"/>
    <n v="5"/>
    <x v="0"/>
  </r>
  <r>
    <s v="Lovely Albany Room with Breakfast Next Downtown"/>
    <s v="â¨Premier Stay Co.â©"/>
    <x v="5"/>
    <n v="42.680059999999997"/>
    <n v="-73.783860000000004"/>
    <x v="0"/>
    <x v="107"/>
    <n v="1"/>
    <n v="9"/>
    <d v="2026-05-16T00:00:00"/>
    <n v="1.8"/>
    <n v="29"/>
    <n v="362"/>
    <n v="9"/>
    <x v="0"/>
  </r>
  <r>
    <s v="Charming Albany Retreat ~ 3 Mi to Downtown!"/>
    <s v="Evolve"/>
    <x v="10"/>
    <n v="42.669580000000003"/>
    <n v="-73.797219999999996"/>
    <x v="0"/>
    <x v="217"/>
    <n v="4"/>
    <n v="1"/>
    <d v="2025-12-30T00:00:00"/>
    <n v="0.18"/>
    <n v="4"/>
    <n v="329"/>
    <n v="1"/>
    <x v="1"/>
  </r>
  <r>
    <s v="The Grand on Clinton across from The Palace!"/>
    <s v="Kristy"/>
    <x v="0"/>
    <n v="42.655030600000003"/>
    <n v="-73.751729400000002"/>
    <x v="0"/>
    <x v="113"/>
    <n v="1"/>
    <n v="14"/>
    <d v="2026-05-17T00:00:00"/>
    <n v="3.44"/>
    <n v="1"/>
    <n v="11"/>
    <n v="14"/>
    <x v="2"/>
  </r>
  <r>
    <s v="Comfort and Spacious"/>
    <s v="Tanya"/>
    <x v="11"/>
    <n v="42.645139999999998"/>
    <n v="-73.788659999999993"/>
    <x v="0"/>
    <x v="29"/>
    <n v="1"/>
    <n v="6"/>
    <d v="2026-06-15T00:00:00"/>
    <n v="2.4700000000000002"/>
    <n v="1"/>
    <n v="312"/>
    <n v="6"/>
    <x v="3"/>
  </r>
  <r>
    <s v="Albany-center-elite-apartment"/>
    <s v="Olena"/>
    <x v="2"/>
    <n v="42.645337784122802"/>
    <n v="-73.760164403704806"/>
    <x v="0"/>
    <x v="26"/>
    <n v="1"/>
    <n v="2"/>
    <d v="2026-05-17T00:00:00"/>
    <n v="1.87"/>
    <n v="1"/>
    <n v="340"/>
    <n v="2"/>
    <x v="2"/>
  </r>
  <r>
    <s v="Chic 2BR Retreat in Albany Cozy, Stylish &amp; Central"/>
    <s v="Linda"/>
    <x v="9"/>
    <n v="42.6490130306859"/>
    <n v="-73.766813916215199"/>
    <x v="0"/>
    <x v="78"/>
    <n v="1"/>
    <n v="6"/>
    <d v="2026-05-17T00:00:00"/>
    <n v="1.57"/>
    <n v="16"/>
    <n v="344"/>
    <n v="6"/>
    <x v="1"/>
  </r>
  <r>
    <s v="Two-bedroom House Albany"/>
    <s v="Rich"/>
    <x v="11"/>
    <n v="42.651620000000001"/>
    <n v="-73.810770000000005"/>
    <x v="0"/>
    <x v="138"/>
    <n v="2"/>
    <n v="5"/>
    <d v="2026-03-08T00:00:00"/>
    <n v="1.23"/>
    <n v="1"/>
    <n v="166"/>
    <n v="5"/>
    <x v="1"/>
  </r>
  <r>
    <s v="Empire State Executive Suite| Prime Plaza Location"/>
    <s v="Rodney"/>
    <x v="1"/>
    <n v="42.654620000000001"/>
    <n v="-73.760270000000006"/>
    <x v="0"/>
    <x v="213"/>
    <n v="1"/>
    <n v="11"/>
    <d v="2026-05-22T00:00:00"/>
    <n v="2.3199999999999998"/>
    <n v="5"/>
    <n v="361"/>
    <n v="11"/>
    <x v="2"/>
  </r>
  <r>
    <s v="Relaxing 1BD Stay Albany W/Breakfast Next Downtown"/>
    <s v="â¨Premier Stay Co.â©"/>
    <x v="5"/>
    <n v="42.681690000000003"/>
    <n v="-73.784670000000006"/>
    <x v="0"/>
    <x v="199"/>
    <n v="1"/>
    <n v="1"/>
    <d v="2026-02-16T00:00:00"/>
    <n v="0.25"/>
    <n v="29"/>
    <n v="365"/>
    <n v="1"/>
    <x v="0"/>
  </r>
  <r>
    <s v="Albany Comfy 1BD Hotel W/Breakfast Next Downtown"/>
    <s v="â¨Premier Stay Co.â©"/>
    <x v="5"/>
    <n v="42.681660000000001"/>
    <n v="-73.783370000000005"/>
    <x v="0"/>
    <x v="23"/>
    <n v="1"/>
    <n v="1"/>
    <d v="2026-04-25T00:00:00"/>
    <n v="0.56999999999999995"/>
    <n v="29"/>
    <n v="348"/>
    <n v="1"/>
    <x v="2"/>
  </r>
  <r>
    <s v="Modern 1BD Room in Albany with Breakfast &amp; view"/>
    <s v="â¨Premier Stay Co.â©"/>
    <x v="5"/>
    <n v="42.682310000000001"/>
    <n v="-73.783209999999997"/>
    <x v="0"/>
    <x v="108"/>
    <n v="1"/>
    <n v="1"/>
    <d v="2026-04-06T00:00:00"/>
    <n v="0.42"/>
    <n v="29"/>
    <n v="364"/>
    <n v="1"/>
    <x v="0"/>
  </r>
  <r>
    <s v="â€˜The Morris Homeâ€™ Private Bedroom 1 / 2 Full Bath"/>
    <s v="Scott"/>
    <x v="6"/>
    <n v="42.662382679230497"/>
    <n v="-73.786409262788894"/>
    <x v="1"/>
    <x v="134"/>
    <n v="28"/>
    <n v="1"/>
    <d v="2026-05-09T00:00:00"/>
    <n v="0.77"/>
    <n v="21"/>
    <n v="276"/>
    <n v="1"/>
    <x v="0"/>
  </r>
  <r>
    <s v="Comfortable Home Near Downtown Albany &amp; Highway"/>
    <s v="Antonio"/>
    <x v="13"/>
    <n v="42.639190253752197"/>
    <n v="-73.775329399999904"/>
    <x v="0"/>
    <x v="155"/>
    <n v="1"/>
    <n v="12"/>
    <d v="2026-06-02T00:00:00"/>
    <n v="3.6"/>
    <n v="1"/>
    <n v="119"/>
    <n v="12"/>
    <x v="2"/>
  </r>
  <r>
    <s v="Historic Albany Nest | Center of it All + Parking"/>
    <s v="Ming"/>
    <x v="1"/>
    <n v="42.652143698498499"/>
    <n v="-73.767364318869696"/>
    <x v="0"/>
    <x v="147"/>
    <n v="1"/>
    <n v="22"/>
    <d v="2026-06-07T00:00:00"/>
    <n v="5.41"/>
    <n v="7"/>
    <n v="343"/>
    <n v="22"/>
    <x v="2"/>
  </r>
  <r>
    <s v="Large Bedroom in the heart of downtown Albany."/>
    <s v="Idongesit"/>
    <x v="1"/>
    <n v="42.654580000000003"/>
    <n v="-73.767750000000007"/>
    <x v="1"/>
    <x v="173"/>
    <n v="1"/>
    <n v="5"/>
    <d v="2026-05-13T00:00:00"/>
    <n v="1.3"/>
    <n v="4"/>
    <n v="339"/>
    <n v="5"/>
    <x v="0"/>
  </r>
  <r>
    <s v="â€˜The Morris Homeâ€™ Private Bedroom 6 / 2 Full Bath"/>
    <s v="Scott"/>
    <x v="6"/>
    <n v="42.661133141062699"/>
    <n v="-73.787341723671503"/>
    <x v="1"/>
    <x v="176"/>
    <n v="21"/>
    <n v="0"/>
    <m/>
    <n v="0"/>
    <n v="21"/>
    <n v="319"/>
    <n v="0"/>
    <x v="0"/>
  </r>
  <r>
    <s v="A beautiful home away from home for travelers."/>
    <s v="Idongesit"/>
    <x v="1"/>
    <n v="42.652981173089501"/>
    <n v="-73.765667492880993"/>
    <x v="0"/>
    <x v="218"/>
    <n v="1"/>
    <n v="10"/>
    <d v="2026-06-07T00:00:00"/>
    <n v="3.75"/>
    <n v="4"/>
    <n v="334"/>
    <n v="10"/>
    <x v="1"/>
  </r>
  <r>
    <s v="Private 3BR Townhouse by St. Peter's | Fast Wi-Fi"/>
    <s v="Brian"/>
    <x v="3"/>
    <n v="42.658644799999998"/>
    <n v="-73.802200399999904"/>
    <x v="0"/>
    <x v="219"/>
    <n v="1"/>
    <n v="9"/>
    <d v="2026-06-13T00:00:00"/>
    <n v="2.33"/>
    <n v="4"/>
    <n v="356"/>
    <n v="9"/>
    <x v="1"/>
  </r>
  <r>
    <s v="Large Bedroom in the heart of downtown Albany."/>
    <s v="Idongesit"/>
    <x v="1"/>
    <n v="42.653889999999997"/>
    <n v="-73.766159999999999"/>
    <x v="1"/>
    <x v="173"/>
    <n v="1"/>
    <n v="2"/>
    <d v="2026-03-21T00:00:00"/>
    <n v="0.64"/>
    <n v="4"/>
    <n v="335"/>
    <n v="2"/>
    <x v="0"/>
  </r>
  <r>
    <s v="Large room with walk in closet, work station"/>
    <s v="Idongesit"/>
    <x v="1"/>
    <n v="42.653954187945203"/>
    <n v="-73.766041518987805"/>
    <x v="1"/>
    <x v="173"/>
    <n v="1"/>
    <n v="5"/>
    <d v="2026-04-16T00:00:00"/>
    <n v="1.46"/>
    <n v="4"/>
    <n v="341"/>
    <n v="5"/>
    <x v="0"/>
  </r>
  <r>
    <s v="Newly Renovated 3BR/2BA with Private Attic Suite"/>
    <s v="Philip"/>
    <x v="9"/>
    <n v="42.647449999999999"/>
    <n v="-73.769679999999994"/>
    <x v="0"/>
    <x v="220"/>
    <n v="1"/>
    <n v="2"/>
    <d v="2026-05-12T00:00:00"/>
    <n v="0.64"/>
    <n v="2"/>
    <n v="353"/>
    <n v="2"/>
    <x v="3"/>
  </r>
  <r>
    <s v="Apartment: King Bed + 2 Queens in Spacious 3BR"/>
    <s v="Roland"/>
    <x v="10"/>
    <n v="42.6692387335817"/>
    <n v="-73.797972192180694"/>
    <x v="0"/>
    <x v="184"/>
    <n v="5"/>
    <n v="3"/>
    <d v="2026-03-29T00:00:00"/>
    <n v="0.95"/>
    <n v="5"/>
    <n v="299"/>
    <n v="3"/>
    <x v="2"/>
  </r>
  <r>
    <s v="2 min walk to albanymed|offst parking| in unit W/D"/>
    <s v="Michaela"/>
    <x v="7"/>
    <n v="42.654995700000001"/>
    <n v="-73.775721500000003"/>
    <x v="0"/>
    <x v="221"/>
    <n v="1"/>
    <n v="6"/>
    <d v="2026-06-01T00:00:00"/>
    <n v="2.0699999999999998"/>
    <n v="3"/>
    <n v="347"/>
    <n v="6"/>
    <x v="1"/>
  </r>
  <r>
    <s v="The Eagle: Cozy Queen Room in Shared Apartment"/>
    <s v="Roland"/>
    <x v="3"/>
    <n v="42.66827"/>
    <n v="-73.798829999999995"/>
    <x v="1"/>
    <x v="122"/>
    <n v="5"/>
    <n v="0"/>
    <m/>
    <n v="0"/>
    <n v="5"/>
    <n v="343"/>
    <n v="0"/>
    <x v="0"/>
  </r>
  <r>
    <s v="The Owl: Queen Bedroom + Shared Kitchen &amp; Bath"/>
    <s v="Roland"/>
    <x v="3"/>
    <n v="42.667830000000002"/>
    <n v="-73.800529999999995"/>
    <x v="1"/>
    <x v="171"/>
    <n v="5"/>
    <n v="1"/>
    <d v="2026-04-29T00:00:00"/>
    <n v="0.61"/>
    <n v="5"/>
    <n v="310"/>
    <n v="1"/>
    <x v="0"/>
  </r>
  <r>
    <s v="The Falcon: large room, king side bed+ work space"/>
    <s v="Roland"/>
    <x v="10"/>
    <n v="42.66919"/>
    <n v="-73.798649999999995"/>
    <x v="1"/>
    <x v="12"/>
    <n v="5"/>
    <n v="3"/>
    <d v="2026-05-10T00:00:00"/>
    <n v="1.32"/>
    <n v="5"/>
    <n v="299"/>
    <n v="3"/>
    <x v="0"/>
  </r>
  <r>
    <s v="Charming fully furnished 2BR + office next to AMC"/>
    <s v="Yuriy"/>
    <x v="7"/>
    <n v="42.654269999999997"/>
    <n v="-73.786450000000002"/>
    <x v="0"/>
    <x v="57"/>
    <n v="2"/>
    <n v="8"/>
    <d v="2026-06-14T00:00:00"/>
    <n v="3.04"/>
    <n v="1"/>
    <n v="349"/>
    <n v="8"/>
    <x v="2"/>
  </r>
  <r>
    <s v="2 Queen Beds Stay near Times Union Center"/>
    <s v="CH Hotels"/>
    <x v="0"/>
    <n v="42.645488999999998"/>
    <n v="-73.750291599999997"/>
    <x v="3"/>
    <x v="86"/>
    <n v="1"/>
    <n v="0"/>
    <m/>
    <n v="0"/>
    <n v="8"/>
    <n v="313"/>
    <n v="0"/>
    <x v="2"/>
  </r>
  <r>
    <s v="Double Queen Room | Free Parking &amp; Breakfast!"/>
    <s v="CH Hotels"/>
    <x v="0"/>
    <n v="42.645488999999998"/>
    <n v="-73.750291599999997"/>
    <x v="3"/>
    <x v="86"/>
    <n v="1"/>
    <n v="0"/>
    <m/>
    <n v="0"/>
    <n v="8"/>
    <n v="313"/>
    <n v="0"/>
    <x v="2"/>
  </r>
  <r>
    <s v="2  Modern Downtown Albany Rooms for Group/Family!"/>
    <s v="CH Hotels"/>
    <x v="0"/>
    <n v="42.645488999999998"/>
    <n v="-73.750291599999997"/>
    <x v="3"/>
    <x v="222"/>
    <n v="1"/>
    <n v="0"/>
    <m/>
    <n v="0"/>
    <n v="8"/>
    <n v="312"/>
    <n v="0"/>
    <x v="1"/>
  </r>
  <r>
    <s v="2 Restful Rooms for Downtown Albany Stays"/>
    <s v="CH Hotels"/>
    <x v="0"/>
    <n v="42.645488999999998"/>
    <n v="-73.750291599999997"/>
    <x v="3"/>
    <x v="222"/>
    <n v="1"/>
    <n v="0"/>
    <m/>
    <n v="0"/>
    <n v="8"/>
    <n v="312"/>
    <n v="0"/>
    <x v="1"/>
  </r>
  <r>
    <s v="3 Units Near Hudson River w/ Free Parking!"/>
    <s v="CH Hotels"/>
    <x v="0"/>
    <n v="42.645490000000002"/>
    <n v="-73.750290000000007"/>
    <x v="3"/>
    <x v="223"/>
    <n v="1"/>
    <n v="0"/>
    <m/>
    <n v="0"/>
    <n v="8"/>
    <n v="312"/>
    <n v="0"/>
    <x v="3"/>
  </r>
  <r>
    <s v="3 Rooms for Family Stay w/ Free On-Site Parking!"/>
    <s v="CH Hotels"/>
    <x v="0"/>
    <n v="42.645488999999998"/>
    <n v="-73.750291599999997"/>
    <x v="3"/>
    <x v="223"/>
    <n v="1"/>
    <n v="0"/>
    <m/>
    <n v="0"/>
    <n v="8"/>
    <n v="312"/>
    <n v="0"/>
    <x v="3"/>
  </r>
  <r>
    <s v="King Room near Empire State Plaza w/ Free Parking!"/>
    <s v="CH Hotels"/>
    <x v="0"/>
    <n v="42.645488999999998"/>
    <n v="-73.750291599999997"/>
    <x v="3"/>
    <x v="86"/>
    <n v="1"/>
    <n v="0"/>
    <m/>
    <n v="0"/>
    <n v="8"/>
    <n v="316"/>
    <n v="0"/>
    <x v="2"/>
  </r>
  <r>
    <s v="Downtown Albany Room | Free Breakfast &amp; Parking!"/>
    <s v="CH Hotels"/>
    <x v="0"/>
    <n v="42.645488999999998"/>
    <n v="-73.750291599999997"/>
    <x v="3"/>
    <x v="86"/>
    <n v="1"/>
    <n v="0"/>
    <m/>
    <n v="0"/>
    <n v="8"/>
    <n v="316"/>
    <n v="0"/>
    <x v="2"/>
  </r>
  <r>
    <s v="New Modern 2 bedroom on the park"/>
    <s v="Eugene"/>
    <x v="1"/>
    <n v="42.653840000000002"/>
    <n v="-73.767629999999997"/>
    <x v="0"/>
    <x v="201"/>
    <n v="3"/>
    <n v="6"/>
    <d v="2026-06-03T00:00:00"/>
    <n v="2.31"/>
    <n v="2"/>
    <n v="331"/>
    <n v="6"/>
    <x v="2"/>
  </r>
  <r>
    <s v="Rowhouse 23 Studio"/>
    <s v="Erion"/>
    <x v="1"/>
    <n v="42.653632500000001"/>
    <n v="-73.770234799999997"/>
    <x v="0"/>
    <x v="50"/>
    <n v="1"/>
    <n v="6"/>
    <d v="2026-05-23T00:00:00"/>
    <n v="2.65"/>
    <n v="16"/>
    <n v="336"/>
    <n v="6"/>
    <x v="2"/>
  </r>
  <r>
    <s v="Soul-House"/>
    <s v="Zoe"/>
    <x v="7"/>
    <n v="42.655439999999999"/>
    <n v="-73.776790000000005"/>
    <x v="0"/>
    <x v="3"/>
    <n v="1"/>
    <n v="6"/>
    <d v="2026-05-25T00:00:00"/>
    <n v="2.77"/>
    <n v="1"/>
    <n v="13"/>
    <n v="6"/>
    <x v="2"/>
  </r>
  <r>
    <s v="Albany Value Stay | Near Universities, Hospitals"/>
    <s v="RedAwning Vacation Rentals"/>
    <x v="6"/>
    <n v="42.661799999999999"/>
    <n v="-73.790099999999995"/>
    <x v="0"/>
    <x v="224"/>
    <n v="1"/>
    <n v="2"/>
    <d v="2026-05-31T00:00:00"/>
    <n v="2"/>
    <n v="1"/>
    <n v="35"/>
    <n v="2"/>
    <x v="3"/>
  </r>
  <r>
    <s v="New Modern 2 Bedroom on the Park"/>
    <s v="Eugene"/>
    <x v="1"/>
    <n v="42.653559999999999"/>
    <n v="-73.767439999999993"/>
    <x v="0"/>
    <x v="21"/>
    <n v="3"/>
    <n v="5"/>
    <d v="2026-06-10T00:00:00"/>
    <n v="2.68"/>
    <n v="2"/>
    <n v="335"/>
    <n v="5"/>
    <x v="2"/>
  </r>
  <r>
    <s v="Beautiful Center Square garden apt w/ back patio."/>
    <s v="Laura"/>
    <x v="1"/>
    <n v="42.6518923560931"/>
    <n v="-73.765306659042807"/>
    <x v="0"/>
    <x v="157"/>
    <n v="1"/>
    <n v="14"/>
    <d v="2026-06-08T00:00:00"/>
    <n v="7.12"/>
    <n v="1"/>
    <n v="315"/>
    <n v="14"/>
    <x v="2"/>
  </r>
  <r>
    <s v="Room in Albany, close to Albany Medical Center"/>
    <s v="Fabiola"/>
    <x v="6"/>
    <n v="42.660078222164998"/>
    <n v="-73.782032768403397"/>
    <x v="1"/>
    <x v="225"/>
    <n v="28"/>
    <n v="0"/>
    <m/>
    <n v="0"/>
    <n v="8"/>
    <n v="361"/>
    <n v="0"/>
    <x v="0"/>
  </r>
  <r>
    <s v="Central Albany Home with Breakfast Next Downtown"/>
    <s v="â¨Premier Stay Co.â©"/>
    <x v="14"/>
    <n v="42.682282862427499"/>
    <n v="-73.785031447993802"/>
    <x v="0"/>
    <x v="214"/>
    <n v="1"/>
    <n v="1"/>
    <d v="2026-06-16T00:00:00"/>
    <n v="1"/>
    <n v="29"/>
    <n v="365"/>
    <n v="1"/>
    <x v="0"/>
  </r>
  <r>
    <s v="Larson Checkered"/>
    <s v="Etem"/>
    <x v="1"/>
    <n v="42.653409670923601"/>
    <n v="-73.767911944184902"/>
    <x v="0"/>
    <x v="86"/>
    <n v="2"/>
    <n v="4"/>
    <d v="2026-05-26T00:00:00"/>
    <n v="2.73"/>
    <n v="8"/>
    <n v="244"/>
    <n v="4"/>
    <x v="2"/>
  </r>
  <r>
    <s v="Rowhouse 18 - 1BDR Park South"/>
    <s v="Erion"/>
    <x v="1"/>
    <n v="42.653632500000001"/>
    <n v="-73.770234799999997"/>
    <x v="0"/>
    <x v="89"/>
    <n v="1"/>
    <n v="1"/>
    <d v="2026-06-06T00:00:00"/>
    <n v="1"/>
    <n v="16"/>
    <n v="351"/>
    <n v="1"/>
    <x v="1"/>
  </r>
  <r>
    <s v="Modern Stay on a budget (ideal for students/profs)"/>
    <s v="Jose"/>
    <x v="5"/>
    <n v="42.667479999999998"/>
    <n v="-73.776809999999998"/>
    <x v="1"/>
    <x v="226"/>
    <n v="30"/>
    <n v="0"/>
    <m/>
    <n v="0"/>
    <n v="1"/>
    <n v="163"/>
    <n v="0"/>
    <x v="0"/>
  </r>
  <r>
    <s v="Serene and Cozy: Clean, Cozy Contemporary Living"/>
    <s v="Janelle"/>
    <x v="13"/>
    <n v="42.637875800000003"/>
    <n v="-73.759429299999994"/>
    <x v="0"/>
    <x v="227"/>
    <n v="1"/>
    <n v="2"/>
    <d v="2026-06-07T00:00:00"/>
    <n v="2"/>
    <n v="1"/>
    <n v="362"/>
    <n v="2"/>
    <x v="1"/>
  </r>
  <r>
    <s v="Central Albany Room with Breakfast"/>
    <s v="â¨Premier Stay Co.â©"/>
    <x v="5"/>
    <n v="42.680140000000002"/>
    <n v="-73.784379999999999"/>
    <x v="0"/>
    <x v="68"/>
    <n v="1"/>
    <n v="3"/>
    <d v="2026-05-29T00:00:00"/>
    <n v="2.73"/>
    <n v="29"/>
    <n v="362"/>
    <n v="3"/>
    <x v="0"/>
  </r>
  <r>
    <s v="Modern Albany Home with Breakfast Next Downtown"/>
    <s v="â¨Premier Stay Co.â©"/>
    <x v="5"/>
    <n v="42.681399999999996"/>
    <n v="-73.784300000000002"/>
    <x v="0"/>
    <x v="2"/>
    <n v="1"/>
    <n v="1"/>
    <d v="2026-05-17T00:00:00"/>
    <n v="1"/>
    <n v="29"/>
    <n v="364"/>
    <n v="1"/>
    <x v="0"/>
  </r>
  <r>
    <s v="Albany Marvelous Room with Breakfast Next Downtown"/>
    <s v="â¨Premier Stay Co.â©"/>
    <x v="5"/>
    <n v="42.680329999999998"/>
    <n v="-73.784109999999998"/>
    <x v="0"/>
    <x v="107"/>
    <n v="1"/>
    <n v="0"/>
    <m/>
    <n v="0"/>
    <n v="29"/>
    <n v="358"/>
    <n v="0"/>
    <x v="0"/>
  </r>
  <r>
    <s v="Location is prime! King &amp; Full bed! Sleeps 4 cozy"/>
    <s v="Furdowse"/>
    <x v="3"/>
    <n v="42.658830000000002"/>
    <n v="-73.80162"/>
    <x v="0"/>
    <x v="169"/>
    <n v="1"/>
    <n v="0"/>
    <m/>
    <n v="0"/>
    <n v="2"/>
    <n v="361"/>
    <n v="0"/>
    <x v="2"/>
  </r>
  <r>
    <s v="Two-bedroom apartment in beautiful Center Square"/>
    <s v="Nathan"/>
    <x v="1"/>
    <n v="42.652929999999998"/>
    <n v="-73.766739999999999"/>
    <x v="0"/>
    <x v="162"/>
    <n v="1"/>
    <n v="4"/>
    <d v="2026-06-08T00:00:00"/>
    <n v="3.64"/>
    <n v="2"/>
    <n v="209"/>
    <n v="4"/>
    <x v="1"/>
  </r>
  <r>
    <s v="Perfect Albany Getaway Near Hospitals &amp; Downtown"/>
    <s v="Miguelino"/>
    <x v="6"/>
    <n v="42.660960000000003"/>
    <n v="-73.775850000000005"/>
    <x v="0"/>
    <x v="63"/>
    <n v="1"/>
    <n v="0"/>
    <m/>
    <n v="0"/>
    <n v="2"/>
    <n v="193"/>
    <n v="0"/>
    <x v="2"/>
  </r>
  <r>
    <s v="Great spot in Albany"/>
    <s v="Dan"/>
    <x v="1"/>
    <n v="42.6512308"/>
    <n v="-73.762446299999993"/>
    <x v="0"/>
    <x v="208"/>
    <n v="1"/>
    <n v="0"/>
    <m/>
    <n v="0"/>
    <n v="1"/>
    <n v="319"/>
    <n v="0"/>
    <x v="1"/>
  </r>
  <r>
    <s v="AMC Cozy Bedroom"/>
    <s v="Adriana"/>
    <x v="1"/>
    <n v="42.653849800000003"/>
    <n v="-73.77216"/>
    <x v="1"/>
    <x v="26"/>
    <n v="2"/>
    <n v="0"/>
    <m/>
    <n v="0"/>
    <n v="6"/>
    <n v="359"/>
    <n v="0"/>
    <x v="2"/>
  </r>
  <r>
    <s v="MC Washington Park"/>
    <s v="Adriana"/>
    <x v="1"/>
    <n v="42.653849800000003"/>
    <n v="-73.77216"/>
    <x v="1"/>
    <x v="4"/>
    <n v="2"/>
    <n v="0"/>
    <m/>
    <n v="0"/>
    <n v="6"/>
    <n v="362"/>
    <n v="0"/>
    <x v="0"/>
  </r>
  <r>
    <s v="Serenity Room"/>
    <s v="Fabiola"/>
    <x v="0"/>
    <n v="42.663146039006499"/>
    <n v="-73.768458249441807"/>
    <x v="1"/>
    <x v="225"/>
    <n v="28"/>
    <n v="0"/>
    <m/>
    <n v="0"/>
    <n v="8"/>
    <n v="365"/>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5876EB-D4A5-4CB5-B950-CF530EEFE55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6:B32" firstHeaderRow="1" firstDataRow="1" firstDataCol="1"/>
  <pivotFields count="15">
    <pivotField showAll="0"/>
    <pivotField showAll="0"/>
    <pivotField showAll="0">
      <items count="16">
        <item x="11"/>
        <item x="5"/>
        <item x="4"/>
        <item x="8"/>
        <item x="13"/>
        <item x="3"/>
        <item x="12"/>
        <item x="7"/>
        <item x="2"/>
        <item x="9"/>
        <item x="1"/>
        <item x="6"/>
        <item x="0"/>
        <item x="10"/>
        <item x="14"/>
        <item t="default"/>
      </items>
    </pivotField>
    <pivotField showAll="0"/>
    <pivotField showAll="0"/>
    <pivotField showAll="0">
      <items count="5">
        <item x="0"/>
        <item x="3"/>
        <item x="1"/>
        <item x="2"/>
        <item t="default"/>
      </items>
    </pivotField>
    <pivotField dataField="1" showAll="0"/>
    <pivotField showAll="0"/>
    <pivotField showAll="0"/>
    <pivotField showAll="0"/>
    <pivotField showAll="0"/>
    <pivotField showAll="0"/>
    <pivotField showAll="0"/>
    <pivotField showAll="0"/>
    <pivotField axis="axisRow" showAll="0">
      <items count="6">
        <item x="0"/>
        <item x="2"/>
        <item x="1"/>
        <item x="3"/>
        <item x="4"/>
        <item t="default"/>
      </items>
    </pivotField>
  </pivotFields>
  <rowFields count="1">
    <field x="14"/>
  </rowFields>
  <rowItems count="6">
    <i>
      <x/>
    </i>
    <i>
      <x v="1"/>
    </i>
    <i>
      <x v="2"/>
    </i>
    <i>
      <x v="3"/>
    </i>
    <i>
      <x v="4"/>
    </i>
    <i t="grand">
      <x/>
    </i>
  </rowItems>
  <colItems count="1">
    <i/>
  </colItems>
  <dataFields count="1">
    <dataField name="Count of price" fld="6" subtotal="count" baseField="14" baseItem="0"/>
  </dataFields>
  <formats count="12">
    <format dxfId="31">
      <pivotArea type="all" dataOnly="0" outline="0" fieldPosition="0"/>
    </format>
    <format dxfId="30">
      <pivotArea outline="0" collapsedLevelsAreSubtotals="1" fieldPosition="0"/>
    </format>
    <format dxfId="29">
      <pivotArea field="14" type="button" dataOnly="0" labelOnly="1" outline="0" axis="axisRow" fieldPosition="0"/>
    </format>
    <format dxfId="28">
      <pivotArea dataOnly="0" labelOnly="1" fieldPosition="0">
        <references count="1">
          <reference field="14" count="0"/>
        </references>
      </pivotArea>
    </format>
    <format dxfId="27">
      <pivotArea dataOnly="0" labelOnly="1" grandRow="1" outline="0"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14" type="button" dataOnly="0" labelOnly="1" outline="0" axis="axisRow" fieldPosition="0"/>
    </format>
    <format dxfId="22">
      <pivotArea dataOnly="0" labelOnly="1" fieldPosition="0">
        <references count="1">
          <reference field="14" count="0"/>
        </references>
      </pivotArea>
    </format>
    <format dxfId="21">
      <pivotArea dataOnly="0" labelOnly="1" grandRow="1" outline="0" fieldPosition="0"/>
    </format>
    <format dxfId="20">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0B8960-CBD9-4E8F-9709-F1445FBFD9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B6" firstHeaderRow="1" firstDataRow="1" firstDataCol="1"/>
  <pivotFields count="15">
    <pivotField showAll="0"/>
    <pivotField showAll="0"/>
    <pivotField showAll="0">
      <items count="16">
        <item x="11"/>
        <item x="5"/>
        <item x="4"/>
        <item x="8"/>
        <item x="13"/>
        <item x="3"/>
        <item x="12"/>
        <item x="7"/>
        <item x="2"/>
        <item x="9"/>
        <item x="1"/>
        <item x="6"/>
        <item x="0"/>
        <item x="10"/>
        <item x="14"/>
        <item t="default"/>
      </items>
    </pivotField>
    <pivotField showAll="0"/>
    <pivotField showAll="0"/>
    <pivotField axis="axisRow" dataField="1" showAll="0">
      <items count="5">
        <item x="0"/>
        <item x="3"/>
        <item x="1"/>
        <item x="2"/>
        <item t="default"/>
      </items>
    </pivotField>
    <pivotField showAll="0"/>
    <pivotField showAll="0"/>
    <pivotField showAll="0"/>
    <pivotField showAll="0"/>
    <pivotField showAll="0"/>
    <pivotField showAll="0"/>
    <pivotField showAll="0"/>
    <pivotField showAll="0"/>
    <pivotField showAll="0">
      <items count="6">
        <item x="0"/>
        <item x="2"/>
        <item x="1"/>
        <item x="3"/>
        <item x="4"/>
        <item t="default"/>
      </items>
    </pivotField>
  </pivotFields>
  <rowFields count="1">
    <field x="5"/>
  </rowFields>
  <rowItems count="5">
    <i>
      <x/>
    </i>
    <i>
      <x v="1"/>
    </i>
    <i>
      <x v="2"/>
    </i>
    <i>
      <x v="3"/>
    </i>
    <i t="grand">
      <x/>
    </i>
  </rowItems>
  <colItems count="1">
    <i/>
  </colItems>
  <dataFields count="1">
    <dataField name="Count of room_type" fld="5" subtotal="count" baseField="0" baseItem="0"/>
  </dataFields>
  <formats count="12">
    <format dxfId="43">
      <pivotArea type="all" dataOnly="0" outline="0" fieldPosition="0"/>
    </format>
    <format dxfId="42">
      <pivotArea outline="0" collapsedLevelsAreSubtotals="1" fieldPosition="0"/>
    </format>
    <format dxfId="41">
      <pivotArea field="5" type="button" dataOnly="0" labelOnly="1" outline="0" axis="axisRow" fieldPosition="0"/>
    </format>
    <format dxfId="40">
      <pivotArea dataOnly="0" labelOnly="1" fieldPosition="0">
        <references count="1">
          <reference field="5" count="0"/>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5" type="button" dataOnly="0" labelOnly="1" outline="0" axis="axisRow" fieldPosition="0"/>
    </format>
    <format dxfId="34">
      <pivotArea dataOnly="0" labelOnly="1" fieldPosition="0">
        <references count="1">
          <reference field="5" count="0"/>
        </references>
      </pivotArea>
    </format>
    <format dxfId="33">
      <pivotArea dataOnly="0" labelOnly="1" grandRow="1" outline="0" fieldPosition="0"/>
    </format>
    <format dxfId="32">
      <pivotArea dataOnly="0" labelOnly="1" outline="0" axis="axisValues" fieldPosition="0"/>
    </format>
  </formats>
  <chartFormats count="5">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5" count="1" selected="0">
            <x v="0"/>
          </reference>
        </references>
      </pivotArea>
    </chartFormat>
    <chartFormat chart="13" format="2">
      <pivotArea type="data" outline="0" fieldPosition="0">
        <references count="2">
          <reference field="4294967294" count="1" selected="0">
            <x v="0"/>
          </reference>
          <reference field="5" count="1" selected="0">
            <x v="1"/>
          </reference>
        </references>
      </pivotArea>
    </chartFormat>
    <chartFormat chart="13" format="3">
      <pivotArea type="data" outline="0" fieldPosition="0">
        <references count="2">
          <reference field="4294967294" count="1" selected="0">
            <x v="0"/>
          </reference>
          <reference field="5" count="1" selected="0">
            <x v="2"/>
          </reference>
        </references>
      </pivotArea>
    </chartFormat>
    <chartFormat chart="13" format="4">
      <pivotArea type="data" outline="0" fieldPosition="0">
        <references count="2">
          <reference field="4294967294" count="1" selected="0">
            <x v="0"/>
          </reference>
          <reference field="5" count="1" selected="0">
            <x v="3"/>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594FA2-108E-472E-BE34-8C3134A22D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5:B36" firstHeaderRow="1" firstDataRow="1" firstDataCol="1"/>
  <pivotFields count="15">
    <pivotField showAll="0"/>
    <pivotField showAll="0"/>
    <pivotField axis="axisRow" showAll="0" measureFilter="1" sortType="descending">
      <items count="16">
        <item x="11"/>
        <item x="5"/>
        <item x="4"/>
        <item x="8"/>
        <item x="13"/>
        <item x="3"/>
        <item x="12"/>
        <item x="7"/>
        <item x="2"/>
        <item x="9"/>
        <item x="1"/>
        <item x="6"/>
        <item x="0"/>
        <item x="10"/>
        <item x="14"/>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3"/>
        <item x="1"/>
        <item x="2"/>
        <item t="default"/>
      </items>
    </pivotField>
    <pivotField dataField="1" showAll="0"/>
    <pivotField showAll="0"/>
    <pivotField showAll="0"/>
    <pivotField showAll="0"/>
    <pivotField showAll="0"/>
    <pivotField showAll="0"/>
    <pivotField showAll="0"/>
    <pivotField showAll="0"/>
    <pivotField showAll="0">
      <items count="6">
        <item x="0"/>
        <item x="2"/>
        <item x="1"/>
        <item x="3"/>
        <item x="4"/>
        <item t="default"/>
      </items>
    </pivotField>
  </pivotFields>
  <rowFields count="1">
    <field x="2"/>
  </rowFields>
  <rowItems count="11">
    <i>
      <x v="2"/>
    </i>
    <i>
      <x/>
    </i>
    <i>
      <x v="9"/>
    </i>
    <i>
      <x v="4"/>
    </i>
    <i>
      <x v="8"/>
    </i>
    <i>
      <x v="6"/>
    </i>
    <i>
      <x v="5"/>
    </i>
    <i>
      <x v="13"/>
    </i>
    <i>
      <x v="14"/>
    </i>
    <i>
      <x v="10"/>
    </i>
    <i t="grand">
      <x/>
    </i>
  </rowItems>
  <colItems count="1">
    <i/>
  </colItems>
  <dataFields count="1">
    <dataField name="Average of price" fld="6" subtotal="average" baseField="2" baseItem="0"/>
  </dataFields>
  <formats count="13">
    <format dxfId="17">
      <pivotArea collapsedLevelsAreSubtotals="1" fieldPosition="0">
        <references count="1">
          <reference field="2" count="1">
            <x v="1"/>
          </reference>
        </references>
      </pivotArea>
    </format>
    <format dxfId="16">
      <pivotArea collapsedLevelsAreSubtotals="1" fieldPosition="0">
        <references count="1">
          <reference field="2" count="1">
            <x v="3"/>
          </reference>
        </references>
      </pivotArea>
    </format>
    <format dxfId="15">
      <pivotArea collapsedLevelsAreSubtotals="1" fieldPosition="0">
        <references count="1">
          <reference field="2" count="1">
            <x v="7"/>
          </reference>
        </references>
      </pivotArea>
    </format>
    <format dxfId="14">
      <pivotArea collapsedLevelsAreSubtotals="1" fieldPosition="0">
        <references count="1">
          <reference field="2" count="1">
            <x v="12"/>
          </reference>
        </references>
      </pivotArea>
    </format>
    <format dxfId="13">
      <pivotArea collapsedLevelsAreSubtotals="1" fieldPosition="0">
        <references count="1">
          <reference field="2" count="1">
            <x v="10"/>
          </reference>
        </references>
      </pivotArea>
    </format>
    <format dxfId="12">
      <pivotArea collapsedLevelsAreSubtotals="1" fieldPosition="0">
        <references count="1">
          <reference field="2" count="1">
            <x v="14"/>
          </reference>
        </references>
      </pivotArea>
    </format>
    <format dxfId="11">
      <pivotArea collapsedLevelsAreSubtotals="1" fieldPosition="0">
        <references count="1">
          <reference field="2" count="1">
            <x v="13"/>
          </reference>
        </references>
      </pivotArea>
    </format>
    <format dxfId="10">
      <pivotArea collapsedLevelsAreSubtotals="1" fieldPosition="0">
        <references count="1">
          <reference field="2" count="1">
            <x v="5"/>
          </reference>
        </references>
      </pivotArea>
    </format>
    <format dxfId="9">
      <pivotArea collapsedLevelsAreSubtotals="1" fieldPosition="0">
        <references count="1">
          <reference field="2" count="1">
            <x v="6"/>
          </reference>
        </references>
      </pivotArea>
    </format>
    <format dxfId="8">
      <pivotArea collapsedLevelsAreSubtotals="1" fieldPosition="0">
        <references count="1">
          <reference field="2" count="1">
            <x v="4"/>
          </reference>
        </references>
      </pivotArea>
    </format>
    <format dxfId="7">
      <pivotArea collapsedLevelsAreSubtotals="1" fieldPosition="0">
        <references count="1">
          <reference field="2" count="1">
            <x v="9"/>
          </reference>
        </references>
      </pivotArea>
    </format>
    <format dxfId="6">
      <pivotArea collapsedLevelsAreSubtotals="1" fieldPosition="0">
        <references count="1">
          <reference field="2" count="1">
            <x v="0"/>
          </reference>
        </references>
      </pivotArea>
    </format>
    <format dxfId="5">
      <pivotArea collapsedLevelsAreSubtotals="1" fieldPosition="0">
        <references count="1">
          <reference field="2" count="1">
            <x v="2"/>
          </reference>
        </references>
      </pivotArea>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C67D53-742C-42EA-930C-303E1BD34EE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6" firstHeaderRow="1" firstDataRow="1" firstDataCol="1"/>
  <pivotFields count="15">
    <pivotField showAll="0"/>
    <pivotField showAll="0"/>
    <pivotField showAll="0">
      <items count="16">
        <item x="11"/>
        <item x="5"/>
        <item x="4"/>
        <item x="8"/>
        <item x="13"/>
        <item x="3"/>
        <item x="12"/>
        <item x="7"/>
        <item x="2"/>
        <item x="9"/>
        <item x="1"/>
        <item x="6"/>
        <item x="0"/>
        <item x="10"/>
        <item x="14"/>
        <item t="default"/>
      </items>
    </pivotField>
    <pivotField showAll="0"/>
    <pivotField showAll="0"/>
    <pivotField axis="axisRow" showAll="0">
      <items count="5">
        <item x="0"/>
        <item x="3"/>
        <item x="1"/>
        <item x="2"/>
        <item t="default"/>
      </items>
    </pivotField>
    <pivotField dataField="1" showAll="0"/>
    <pivotField showAll="0"/>
    <pivotField showAll="0"/>
    <pivotField showAll="0"/>
    <pivotField showAll="0"/>
    <pivotField showAll="0"/>
    <pivotField showAll="0"/>
    <pivotField showAll="0"/>
    <pivotField showAll="0">
      <items count="6">
        <item x="0"/>
        <item x="2"/>
        <item x="1"/>
        <item x="3"/>
        <item x="4"/>
        <item t="default"/>
      </items>
    </pivotField>
  </pivotFields>
  <rowFields count="1">
    <field x="5"/>
  </rowFields>
  <rowItems count="5">
    <i>
      <x/>
    </i>
    <i>
      <x v="1"/>
    </i>
    <i>
      <x v="2"/>
    </i>
    <i>
      <x v="3"/>
    </i>
    <i t="grand">
      <x/>
    </i>
  </rowItems>
  <colItems count="1">
    <i/>
  </colItems>
  <dataFields count="1">
    <dataField name="Average of price" fld="6" subtotal="average" baseField="5" baseItem="0"/>
  </dataFields>
  <formats count="2">
    <format dxfId="19">
      <pivotArea collapsedLevelsAreSubtotals="1" fieldPosition="0">
        <references count="1">
          <reference field="5" count="1">
            <x v="0"/>
          </reference>
        </references>
      </pivotArea>
    </format>
    <format dxfId="18">
      <pivotArea collapsedLevelsAreSubtotals="1" fieldPosition="0">
        <references count="1">
          <reference field="5" count="1">
            <x v="2"/>
          </reference>
        </references>
      </pivotArea>
    </format>
  </formats>
  <chartFormats count="2">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B5162D-68F3-4E50-BA6E-2CEE7BE94BC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E19" firstHeaderRow="1" firstDataRow="2" firstDataCol="1"/>
  <pivotFields count="15">
    <pivotField showAll="0"/>
    <pivotField showAll="0"/>
    <pivotField axis="axisRow" showAll="0">
      <items count="16">
        <item x="11"/>
        <item x="5"/>
        <item x="4"/>
        <item x="8"/>
        <item x="13"/>
        <item x="3"/>
        <item x="12"/>
        <item x="7"/>
        <item x="2"/>
        <item x="9"/>
        <item x="1"/>
        <item x="6"/>
        <item x="0"/>
        <item x="10"/>
        <item x="14"/>
        <item t="default"/>
      </items>
    </pivotField>
    <pivotField showAll="0"/>
    <pivotField showAll="0"/>
    <pivotField axis="axisCol" showAll="0">
      <items count="5">
        <item x="0"/>
        <item x="3"/>
        <item x="1"/>
        <item x="2"/>
        <item t="default"/>
      </items>
    </pivotField>
    <pivotField dataField="1" showAll="0"/>
    <pivotField showAll="0"/>
    <pivotField showAll="0"/>
    <pivotField showAll="0"/>
    <pivotField showAll="0"/>
    <pivotField showAll="0"/>
    <pivotField showAll="0"/>
    <pivotField showAll="0"/>
    <pivotField showAll="0">
      <items count="6">
        <item x="0"/>
        <item x="2"/>
        <item x="1"/>
        <item x="3"/>
        <item x="4"/>
        <item t="default"/>
      </items>
    </pivotField>
  </pivotFields>
  <rowFields count="1">
    <field x="2"/>
  </rowFields>
  <rowItems count="15">
    <i>
      <x/>
    </i>
    <i>
      <x v="1"/>
    </i>
    <i>
      <x v="2"/>
    </i>
    <i>
      <x v="3"/>
    </i>
    <i>
      <x v="4"/>
    </i>
    <i>
      <x v="5"/>
    </i>
    <i>
      <x v="6"/>
    </i>
    <i>
      <x v="7"/>
    </i>
    <i>
      <x v="8"/>
    </i>
    <i>
      <x v="9"/>
    </i>
    <i>
      <x v="10"/>
    </i>
    <i>
      <x v="11"/>
    </i>
    <i>
      <x v="12"/>
    </i>
    <i>
      <x v="13"/>
    </i>
    <i>
      <x v="14"/>
    </i>
  </rowItems>
  <colFields count="1">
    <field x="5"/>
  </colFields>
  <colItems count="4">
    <i>
      <x/>
    </i>
    <i>
      <x v="1"/>
    </i>
    <i>
      <x v="2"/>
    </i>
    <i>
      <x v="3"/>
    </i>
  </colItems>
  <dataFields count="1">
    <dataField name="Sum of price" fld="6"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5EDF81-9AA2-4FCA-B49C-561909FCDD6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9:E35" firstHeaderRow="1" firstDataRow="2" firstDataCol="1"/>
  <pivotFields count="15">
    <pivotField showAll="0"/>
    <pivotField showAll="0"/>
    <pivotField axis="axisRow" showAll="0">
      <items count="16">
        <item x="11"/>
        <item x="5"/>
        <item x="4"/>
        <item x="8"/>
        <item x="13"/>
        <item x="3"/>
        <item x="12"/>
        <item x="7"/>
        <item x="2"/>
        <item x="9"/>
        <item x="1"/>
        <item x="6"/>
        <item x="0"/>
        <item x="10"/>
        <item x="14"/>
        <item t="default"/>
      </items>
    </pivotField>
    <pivotField showAll="0"/>
    <pivotField showAll="0"/>
    <pivotField axis="axisCol" showAll="0">
      <items count="5">
        <item x="0"/>
        <item x="3"/>
        <item x="1"/>
        <item x="2"/>
        <item t="default"/>
      </items>
    </pivotField>
    <pivotField dataField="1" showAll="0"/>
    <pivotField showAll="0"/>
    <pivotField showAll="0"/>
    <pivotField showAll="0"/>
    <pivotField showAll="0"/>
    <pivotField showAll="0"/>
    <pivotField showAll="0"/>
    <pivotField showAll="0"/>
    <pivotField showAll="0">
      <items count="6">
        <item x="0"/>
        <item x="2"/>
        <item x="1"/>
        <item x="3"/>
        <item x="4"/>
        <item t="default"/>
      </items>
    </pivotField>
  </pivotFields>
  <rowFields count="1">
    <field x="2"/>
  </rowFields>
  <rowItems count="15">
    <i>
      <x/>
    </i>
    <i>
      <x v="1"/>
    </i>
    <i>
      <x v="2"/>
    </i>
    <i>
      <x v="3"/>
    </i>
    <i>
      <x v="4"/>
    </i>
    <i>
      <x v="5"/>
    </i>
    <i>
      <x v="6"/>
    </i>
    <i>
      <x v="7"/>
    </i>
    <i>
      <x v="8"/>
    </i>
    <i>
      <x v="9"/>
    </i>
    <i>
      <x v="10"/>
    </i>
    <i>
      <x v="11"/>
    </i>
    <i>
      <x v="12"/>
    </i>
    <i>
      <x v="13"/>
    </i>
    <i>
      <x v="14"/>
    </i>
  </rowItems>
  <colFields count="1">
    <field x="5"/>
  </colFields>
  <colItems count="4">
    <i>
      <x/>
    </i>
    <i>
      <x v="1"/>
    </i>
    <i>
      <x v="2"/>
    </i>
    <i>
      <x v="3"/>
    </i>
  </colItems>
  <dataFields count="1">
    <dataField name="Sum of price" fld="6"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AAEC27C2-F410-4E8C-92AE-D93E3D313472}" sourceName="Price Range">
  <pivotTables>
    <pivotTable tabId="5" name="PivotTable3"/>
    <pivotTable tabId="11" name="PivotTable4"/>
    <pivotTable tabId="5" name="PivotTable1"/>
    <pivotTable tabId="6" name="PivotTable1"/>
    <pivotTable tabId="6" name="PivotTable2"/>
    <pivotTable tabId="7" name="PivotTable3"/>
  </pivotTables>
  <data>
    <tabular pivotCacheId="122833439">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ighbourhood" xr10:uid="{99072D6A-0DC4-488E-B59A-5DE2D126523F}" sourceName="neighbourhood">
  <pivotTables>
    <pivotTable tabId="6" name="PivotTable1"/>
    <pivotTable tabId="11" name="PivotTable4"/>
    <pivotTable tabId="5" name="PivotTable1"/>
    <pivotTable tabId="5" name="PivotTable3"/>
    <pivotTable tabId="6" name="PivotTable2"/>
    <pivotTable tabId="7" name="PivotTable3"/>
  </pivotTables>
  <data>
    <tabular pivotCacheId="122833439">
      <items count="15">
        <i x="11" s="1"/>
        <i x="5" s="1"/>
        <i x="4" s="1"/>
        <i x="8" s="1"/>
        <i x="13" s="1"/>
        <i x="3" s="1"/>
        <i x="12" s="1"/>
        <i x="7" s="1"/>
        <i x="2" s="1"/>
        <i x="9" s="1"/>
        <i x="1" s="1"/>
        <i x="6" s="1"/>
        <i x="0" s="1"/>
        <i x="10" s="1"/>
        <i x="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 xr10:uid="{628BDAD5-9DC6-4847-A0FF-5B0B86D9384A}" sourceName="room_type">
  <pivotTables>
    <pivotTable tabId="6" name="PivotTable2"/>
    <pivotTable tabId="11" name="PivotTable4"/>
    <pivotTable tabId="5" name="PivotTable1"/>
    <pivotTable tabId="5" name="PivotTable3"/>
    <pivotTable tabId="6" name="PivotTable1"/>
    <pivotTable tabId="7" name="PivotTable3"/>
  </pivotTables>
  <data>
    <tabular pivotCacheId="122833439">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Range" xr10:uid="{892926E6-8A54-46B9-AC05-977CA515926D}" cache="Slicer_Price_Range" caption="Price Range" style="SlicerStyleOther2" rowHeight="241300"/>
  <slicer name="neighbourhood" xr10:uid="{22ED3FF2-BAEA-4ACB-B0D3-C769376133AE}" cache="Slicer_neighbourhood" caption="neighbourhood" style="SlicerStyleOther2" rowHeight="241300"/>
  <slicer name="room_type" xr10:uid="{0284AA8B-9B9E-4425-B52C-644222E231C2}" cache="Slicer_room_type" caption="room_type"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6788DB-2CE2-4F76-A4B7-33AA74923974}" name="airbnb_data" displayName="airbnb_data" ref="A1:O459" totalsRowShown="0">
  <autoFilter ref="A1:O459" xr:uid="{8A6788DB-2CE2-4F76-A4B7-33AA74923974}"/>
  <tableColumns count="15">
    <tableColumn id="1" xr3:uid="{727DD618-42FD-483F-8081-BF1A9DF515B3}" name="name"/>
    <tableColumn id="2" xr3:uid="{48241375-80AF-44B7-A5FC-1A0514806C07}" name="host_name"/>
    <tableColumn id="3" xr3:uid="{F7C6572D-C5F5-4005-AF25-E5E7CC7CE633}" name="neighbourhood"/>
    <tableColumn id="4" xr3:uid="{D0367086-621D-4111-AE0D-A0F9842C6E52}" name="latitude"/>
    <tableColumn id="5" xr3:uid="{C887C9C2-FDCF-44ED-8198-9453B8792ADE}" name="longitude"/>
    <tableColumn id="6" xr3:uid="{C0736B76-9B6C-42EE-8A10-3F2383802180}" name="room_type"/>
    <tableColumn id="7" xr3:uid="{17AB57C4-F88F-45C8-8367-5344EBDEF1CA}" name="price"/>
    <tableColumn id="8" xr3:uid="{86D1D60A-951D-4AAD-A14F-1E1F04EA9E2C}" name="minimum_nights"/>
    <tableColumn id="9" xr3:uid="{CC18F767-F3A9-40A0-AA89-8B54FC24B1E6}" name="number_of_reviews"/>
    <tableColumn id="10" xr3:uid="{04BD4D94-4DBF-4710-8AB8-21C27D7F26F6}" name="last_review"/>
    <tableColumn id="11" xr3:uid="{DB6378C3-C1F7-4CA7-A115-4F20279EF99B}" name="reviews_per_month"/>
    <tableColumn id="12" xr3:uid="{07C1F246-EE02-4617-BE0C-3E4D2F00E2B8}" name="calculated_host_listings_count"/>
    <tableColumn id="13" xr3:uid="{E2BD91BE-1DF7-4B8C-A27C-4D712F3A55F9}" name="availability_365"/>
    <tableColumn id="14" xr3:uid="{D9801A89-D35F-4CB3-9CFB-D7E32B5123AA}" name="number_of_reviews_ltm"/>
    <tableColumn id="15" xr3:uid="{B967798B-94ED-4B9B-940C-8DFDA14F2389}" name="Price Range" dataDxfId="44">
      <calculatedColumnFormula>IF(G2&lt;=100,"0-100",
IF(G2&lt;=200,"101-200",
IF(G2&lt;=300,"201-300",
IF(G2&lt;=500,"301-500","500+"))))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477221-DEAF-48BF-A654-9C9FBD92C854}" name="airbnb_data3" displayName="airbnb_data3" ref="A1:S459" totalsRowShown="0">
  <autoFilter ref="A1:S459" xr:uid="{85477221-DEAF-48BF-A654-9C9FBD92C854}"/>
  <tableColumns count="19">
    <tableColumn id="1" xr3:uid="{D0437C19-38D6-4189-A816-DAB2CAE759EA}" name="name"/>
    <tableColumn id="2" xr3:uid="{B02E7D9E-3AFE-4B8C-87E4-BA2982B18A77}" name="host_name"/>
    <tableColumn id="3" xr3:uid="{D8FDA481-FD0B-4132-A6E7-C33A9F352EA2}" name="neighbourhood"/>
    <tableColumn id="4" xr3:uid="{6E6B5A5E-4ABF-4549-892E-15222F6CA8F9}" name="latitude"/>
    <tableColumn id="5" xr3:uid="{0AF67C74-393E-4BC3-8A60-0EA0EB2D995F}" name="longitude"/>
    <tableColumn id="6" xr3:uid="{BBA3FB60-89F0-4BD6-A126-04C5B583D2D1}" name="room_type"/>
    <tableColumn id="7" xr3:uid="{D5C31991-3EC8-47DF-9973-607BD564B62D}" name="price"/>
    <tableColumn id="8" xr3:uid="{AB7CF05D-249D-4952-A242-DB42235C5A6E}" name="minimum_nights"/>
    <tableColumn id="9" xr3:uid="{2C523614-9B63-4601-B41E-CE3F30D12AC8}" name="number_of_reviews"/>
    <tableColumn id="10" xr3:uid="{4A29622F-E2B1-4E48-95A2-E69A3746ADA2}" name="last_review"/>
    <tableColumn id="11" xr3:uid="{A2F4280C-5100-408C-B444-8CDC034FAE9E}" name="reviews_per_month"/>
    <tableColumn id="12" xr3:uid="{2B275C81-5D99-4A21-B511-9FD4BE814EF3}" name="calculated_host_listings_count"/>
    <tableColumn id="13" xr3:uid="{5C36CC6A-C80C-45E1-8C11-A63BA1DB6EDB}" name="availability_365"/>
    <tableColumn id="14" xr3:uid="{25CB4408-F16D-4A16-BF31-50556E4AFD54}" name="number_of_reviews_ltm"/>
    <tableColumn id="15" xr3:uid="{0C7AE369-8D72-45F2-BCAC-5E26C8B0FC1C}" name="Price Range" dataDxfId="4">
      <calculatedColumnFormula>IF(G2&lt;=100,"0-100",
IF(G2&lt;=200,"101-200",
IF(G2&lt;=300,"201-300",
IF(G2&lt;=500,"301-500","500+"))))</calculatedColumnFormula>
    </tableColumn>
    <tableColumn id="16" xr3:uid="{646956F1-D9F5-4C54-BE2C-E42C86C3B262}" name="Price Category" dataDxfId="3">
      <calculatedColumnFormula>IF(airbnb_data3[[#This Row],[price]]&lt;=100,"Budget",
IF(airbnb_data3[[#This Row],[price]]&lt;=200,"Mid-range",
IF(airbnb_data3[[#This Row],[price]]&lt;=300,"Premium","Luxury")))</calculatedColumnFormula>
    </tableColumn>
    <tableColumn id="17" xr3:uid="{B60CB287-C174-4AD6-BC5F-F211FC0627C5}" name="Availability Status" dataDxfId="2">
      <calculatedColumnFormula>IF(airbnb_data3[[#This Row],[availability_365]]&lt;=120,"Low Availability",IF(airbnb_data3[[#This Row],[availability_365]]&lt;=240,"Medium Availability","High Availability"))</calculatedColumnFormula>
    </tableColumn>
    <tableColumn id="18" xr3:uid="{B2DCD53B-168E-4196-B676-C01C201974F7}" name="Review Level" dataDxfId="1">
      <calculatedColumnFormula>IF(R3&lt;=25,"Low",IF(I4&lt;=100,"Medium","High"))</calculatedColumnFormula>
    </tableColumn>
    <tableColumn id="20" xr3:uid="{5080B49E-2C1E-45E6-9765-B39C263E4AA4}" name="Minimum Stay Category" dataDxfId="0">
      <calculatedColumnFormula>IF(airbnb_data3[[#This Row],[minimum_nights]]&lt;=3,"Short Stay",IF(airbnb_data3[[#This Row],[minimum_nights]]&lt;=7,"Medium Stay","Long Stay"))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epth">
  <a:themeElements>
    <a:clrScheme name="Depth">
      <a:dk1>
        <a:sysClr val="windowText" lastClr="000000"/>
      </a:dk1>
      <a:lt1>
        <a:sysClr val="window" lastClr="FFFFFF"/>
      </a:lt1>
      <a:dk2>
        <a:srgbClr val="455F51"/>
      </a:dk2>
      <a:lt2>
        <a:srgbClr val="94D7E4"/>
      </a:lt2>
      <a:accent1>
        <a:srgbClr val="41AEBD"/>
      </a:accent1>
      <a:accent2>
        <a:srgbClr val="97E9D5"/>
      </a:accent2>
      <a:accent3>
        <a:srgbClr val="A2CF49"/>
      </a:accent3>
      <a:accent4>
        <a:srgbClr val="608F3D"/>
      </a:accent4>
      <a:accent5>
        <a:srgbClr val="F4DE3A"/>
      </a:accent5>
      <a:accent6>
        <a:srgbClr val="FCB11C"/>
      </a:accent6>
      <a:hlink>
        <a:srgbClr val="FBCA98"/>
      </a:hlink>
      <a:folHlink>
        <a:srgbClr val="D3B86D"/>
      </a:folHlink>
    </a:clrScheme>
    <a:fontScheme name="Depth">
      <a:majorFont>
        <a:latin typeface="Corbel" panose="020B0503020204020204"/>
        <a:ea typeface=""/>
        <a:cs typeface=""/>
        <a:font script="Jpan" typeface="メイリオ"/>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メイリオ"/>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epth">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Depth" id="{7BEAFC2A-325C-49C4-AC08-2B765DA903F9}" vid="{1735E755-43E6-43AA-ABA2-C989ECC79AF5}"/>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267B4-5AED-453C-B0CA-2A424FFF3CE2}">
  <dimension ref="A1:S491"/>
  <sheetViews>
    <sheetView workbookViewId="0">
      <selection activeCell="F18" sqref="F18"/>
    </sheetView>
  </sheetViews>
  <sheetFormatPr defaultRowHeight="14.5" x14ac:dyDescent="0.35"/>
  <cols>
    <col min="6" max="6" width="21.58203125" customWidth="1"/>
    <col min="14" max="14" width="18.75"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v>2992450</v>
      </c>
      <c r="B2" t="s">
        <v>19</v>
      </c>
      <c r="C2">
        <v>4621559</v>
      </c>
      <c r="D2">
        <v>1.4626617626351501E+18</v>
      </c>
      <c r="E2" t="s">
        <v>20</v>
      </c>
      <c r="G2" t="s">
        <v>21</v>
      </c>
      <c r="H2">
        <v>42.657890000000002</v>
      </c>
      <c r="I2">
        <v>-73.753699999999995</v>
      </c>
      <c r="J2" t="s">
        <v>22</v>
      </c>
      <c r="K2">
        <v>80</v>
      </c>
      <c r="L2">
        <v>28</v>
      </c>
      <c r="M2">
        <v>9</v>
      </c>
      <c r="N2" s="1">
        <v>44790</v>
      </c>
      <c r="O2">
        <v>0.06</v>
      </c>
      <c r="P2">
        <v>1</v>
      </c>
      <c r="Q2">
        <v>77</v>
      </c>
      <c r="R2">
        <v>0</v>
      </c>
    </row>
    <row r="3" spans="1:19" x14ac:dyDescent="0.35">
      <c r="A3">
        <v>3820211</v>
      </c>
      <c r="B3" t="s">
        <v>23</v>
      </c>
      <c r="C3">
        <v>19648678</v>
      </c>
      <c r="D3">
        <v>1.4630870240167099E+18</v>
      </c>
      <c r="E3" t="s">
        <v>24</v>
      </c>
      <c r="G3" t="s">
        <v>25</v>
      </c>
      <c r="H3">
        <v>42.65222</v>
      </c>
      <c r="I3">
        <v>-73.767240000000001</v>
      </c>
      <c r="J3" t="s">
        <v>22</v>
      </c>
      <c r="K3">
        <v>211</v>
      </c>
      <c r="L3">
        <v>1</v>
      </c>
      <c r="M3">
        <v>317</v>
      </c>
      <c r="N3" s="1">
        <v>46047</v>
      </c>
      <c r="O3">
        <v>2.2000000000000002</v>
      </c>
      <c r="P3">
        <v>7</v>
      </c>
      <c r="Q3">
        <v>328</v>
      </c>
      <c r="R3">
        <v>8</v>
      </c>
    </row>
    <row r="4" spans="1:19" x14ac:dyDescent="0.35">
      <c r="A4">
        <v>5651579</v>
      </c>
      <c r="B4" t="s">
        <v>26</v>
      </c>
      <c r="C4">
        <v>29288920</v>
      </c>
      <c r="D4">
        <v>1.4654315053287401E+18</v>
      </c>
      <c r="E4" t="s">
        <v>27</v>
      </c>
      <c r="G4" t="s">
        <v>28</v>
      </c>
      <c r="H4">
        <v>42.646149999999999</v>
      </c>
      <c r="I4">
        <v>-73.759659999999997</v>
      </c>
      <c r="J4" t="s">
        <v>22</v>
      </c>
      <c r="K4">
        <v>97</v>
      </c>
      <c r="L4">
        <v>1</v>
      </c>
      <c r="M4">
        <v>406</v>
      </c>
      <c r="N4" s="1">
        <v>46185</v>
      </c>
      <c r="O4">
        <v>3</v>
      </c>
      <c r="P4">
        <v>2</v>
      </c>
      <c r="Q4">
        <v>25</v>
      </c>
      <c r="R4">
        <v>37</v>
      </c>
    </row>
    <row r="5" spans="1:19" x14ac:dyDescent="0.35">
      <c r="A5">
        <v>6623339</v>
      </c>
      <c r="B5" t="s">
        <v>29</v>
      </c>
      <c r="C5">
        <v>19648678</v>
      </c>
      <c r="D5">
        <v>1.4630870240167099E+18</v>
      </c>
      <c r="E5" t="s">
        <v>24</v>
      </c>
      <c r="G5" t="s">
        <v>25</v>
      </c>
      <c r="H5">
        <v>42.65222</v>
      </c>
      <c r="I5">
        <v>-73.767240000000001</v>
      </c>
      <c r="J5" t="s">
        <v>22</v>
      </c>
      <c r="K5">
        <v>160</v>
      </c>
      <c r="L5">
        <v>1</v>
      </c>
      <c r="M5">
        <v>332</v>
      </c>
      <c r="N5" s="1">
        <v>45838</v>
      </c>
      <c r="O5">
        <v>2.4700000000000002</v>
      </c>
      <c r="P5">
        <v>7</v>
      </c>
      <c r="Q5">
        <v>359</v>
      </c>
      <c r="R5">
        <v>1</v>
      </c>
    </row>
    <row r="6" spans="1:19" x14ac:dyDescent="0.35">
      <c r="A6">
        <v>9501054</v>
      </c>
      <c r="B6" t="s">
        <v>30</v>
      </c>
      <c r="C6">
        <v>29288920</v>
      </c>
      <c r="D6">
        <v>1.4654315053287401E+18</v>
      </c>
      <c r="E6" t="s">
        <v>27</v>
      </c>
      <c r="G6" t="s">
        <v>28</v>
      </c>
      <c r="H6">
        <v>42.64734</v>
      </c>
      <c r="I6">
        <v>-73.758510000000001</v>
      </c>
      <c r="J6" t="s">
        <v>31</v>
      </c>
      <c r="K6">
        <v>86</v>
      </c>
      <c r="L6">
        <v>1</v>
      </c>
      <c r="M6">
        <v>469</v>
      </c>
      <c r="N6" s="1">
        <v>46182</v>
      </c>
      <c r="O6">
        <v>3.71</v>
      </c>
      <c r="P6">
        <v>2</v>
      </c>
      <c r="Q6">
        <v>235</v>
      </c>
      <c r="R6">
        <v>47</v>
      </c>
    </row>
    <row r="7" spans="1:19" x14ac:dyDescent="0.35">
      <c r="A7">
        <v>10768745</v>
      </c>
      <c r="B7" t="s">
        <v>32</v>
      </c>
      <c r="C7">
        <v>5691268</v>
      </c>
      <c r="D7">
        <v>1.4626870003749399E+18</v>
      </c>
      <c r="E7" t="s">
        <v>33</v>
      </c>
      <c r="G7" t="s">
        <v>34</v>
      </c>
      <c r="H7">
        <v>42.660780000000003</v>
      </c>
      <c r="I7">
        <v>-73.805530000000005</v>
      </c>
      <c r="J7" t="s">
        <v>31</v>
      </c>
      <c r="K7">
        <v>58</v>
      </c>
      <c r="L7">
        <v>1</v>
      </c>
      <c r="M7">
        <v>906</v>
      </c>
      <c r="N7" s="1">
        <v>46174</v>
      </c>
      <c r="O7">
        <v>7.18</v>
      </c>
      <c r="P7">
        <v>2</v>
      </c>
      <c r="Q7">
        <v>154</v>
      </c>
      <c r="R7">
        <v>103</v>
      </c>
    </row>
    <row r="8" spans="1:19" x14ac:dyDescent="0.35">
      <c r="A8">
        <v>11253948</v>
      </c>
      <c r="B8" t="s">
        <v>35</v>
      </c>
      <c r="C8">
        <v>4259750</v>
      </c>
      <c r="D8">
        <v>1.4625345292948301E+18</v>
      </c>
      <c r="E8" t="s">
        <v>36</v>
      </c>
      <c r="G8" t="s">
        <v>37</v>
      </c>
      <c r="H8">
        <v>42.675669999999997</v>
      </c>
      <c r="I8">
        <v>-73.824380000000005</v>
      </c>
      <c r="J8" t="s">
        <v>22</v>
      </c>
      <c r="K8">
        <v>277</v>
      </c>
      <c r="L8">
        <v>1</v>
      </c>
      <c r="M8">
        <v>227</v>
      </c>
      <c r="N8" s="1">
        <v>46166</v>
      </c>
      <c r="O8">
        <v>1.86</v>
      </c>
      <c r="P8">
        <v>8</v>
      </c>
      <c r="Q8">
        <v>357</v>
      </c>
      <c r="R8">
        <v>36</v>
      </c>
    </row>
    <row r="9" spans="1:19" x14ac:dyDescent="0.35">
      <c r="A9">
        <v>11639446</v>
      </c>
      <c r="B9" t="s">
        <v>38</v>
      </c>
      <c r="C9">
        <v>61700428</v>
      </c>
      <c r="D9">
        <v>1.4667591417362801E+18</v>
      </c>
      <c r="E9" t="s">
        <v>39</v>
      </c>
      <c r="G9" t="s">
        <v>40</v>
      </c>
      <c r="H9">
        <v>42.675829999999998</v>
      </c>
      <c r="I9">
        <v>-73.782970000000006</v>
      </c>
      <c r="J9" t="s">
        <v>31</v>
      </c>
      <c r="K9">
        <v>63</v>
      </c>
      <c r="L9">
        <v>15</v>
      </c>
      <c r="M9">
        <v>231</v>
      </c>
      <c r="N9" s="1">
        <v>45351</v>
      </c>
      <c r="O9">
        <v>1.89</v>
      </c>
      <c r="P9">
        <v>2</v>
      </c>
      <c r="Q9">
        <v>364</v>
      </c>
      <c r="R9">
        <v>0</v>
      </c>
    </row>
    <row r="10" spans="1:19" x14ac:dyDescent="0.35">
      <c r="A10">
        <v>12799126</v>
      </c>
      <c r="B10" t="s">
        <v>41</v>
      </c>
      <c r="C10">
        <v>69729286</v>
      </c>
      <c r="D10">
        <v>1.46279070033601E+18</v>
      </c>
      <c r="E10" t="s">
        <v>42</v>
      </c>
      <c r="G10" t="s">
        <v>25</v>
      </c>
      <c r="H10">
        <v>42.651539999999997</v>
      </c>
      <c r="I10">
        <v>-73.76867</v>
      </c>
      <c r="J10" t="s">
        <v>31</v>
      </c>
      <c r="K10">
        <v>64</v>
      </c>
      <c r="L10">
        <v>5</v>
      </c>
      <c r="M10">
        <v>29</v>
      </c>
      <c r="N10" s="1">
        <v>45878</v>
      </c>
      <c r="O10">
        <v>0.41</v>
      </c>
      <c r="P10">
        <v>2</v>
      </c>
      <c r="Q10">
        <v>263</v>
      </c>
      <c r="R10">
        <v>1</v>
      </c>
    </row>
    <row r="11" spans="1:19" x14ac:dyDescent="0.35">
      <c r="A11">
        <v>13083497</v>
      </c>
      <c r="B11" t="s">
        <v>43</v>
      </c>
      <c r="C11">
        <v>1364123</v>
      </c>
      <c r="D11">
        <v>1.46251758312131E+18</v>
      </c>
      <c r="E11" t="s">
        <v>44</v>
      </c>
      <c r="G11" t="s">
        <v>37</v>
      </c>
      <c r="H11">
        <v>42.669719999999998</v>
      </c>
      <c r="I11">
        <v>-73.827529999999996</v>
      </c>
      <c r="J11" t="s">
        <v>22</v>
      </c>
      <c r="K11">
        <v>313</v>
      </c>
      <c r="L11">
        <v>2</v>
      </c>
      <c r="M11">
        <v>200</v>
      </c>
      <c r="N11" s="1">
        <v>46187</v>
      </c>
      <c r="O11">
        <v>1.65</v>
      </c>
      <c r="P11">
        <v>1</v>
      </c>
      <c r="Q11">
        <v>319</v>
      </c>
      <c r="R11">
        <v>11</v>
      </c>
    </row>
    <row r="12" spans="1:19" x14ac:dyDescent="0.35">
      <c r="A12">
        <v>14316232</v>
      </c>
      <c r="B12" t="s">
        <v>45</v>
      </c>
      <c r="C12">
        <v>36438637</v>
      </c>
      <c r="D12">
        <v>1.46267200239136E+18</v>
      </c>
      <c r="E12" t="s">
        <v>46</v>
      </c>
      <c r="G12" t="s">
        <v>47</v>
      </c>
      <c r="H12">
        <v>42.657260000000001</v>
      </c>
      <c r="I12">
        <v>-73.78219</v>
      </c>
      <c r="J12" t="s">
        <v>31</v>
      </c>
      <c r="K12">
        <v>52</v>
      </c>
      <c r="L12">
        <v>18</v>
      </c>
      <c r="M12">
        <v>55</v>
      </c>
      <c r="N12" s="1">
        <v>46081</v>
      </c>
      <c r="O12">
        <v>0.46</v>
      </c>
      <c r="P12">
        <v>2</v>
      </c>
      <c r="Q12">
        <v>276</v>
      </c>
      <c r="R12">
        <v>1</v>
      </c>
    </row>
    <row r="13" spans="1:19" x14ac:dyDescent="0.35">
      <c r="A13">
        <v>14989805</v>
      </c>
      <c r="B13" t="s">
        <v>48</v>
      </c>
      <c r="C13">
        <v>4259750</v>
      </c>
      <c r="D13">
        <v>1.4625345292948301E+18</v>
      </c>
      <c r="E13" t="s">
        <v>36</v>
      </c>
      <c r="G13" t="s">
        <v>37</v>
      </c>
      <c r="H13">
        <v>42.673512000000002</v>
      </c>
      <c r="I13">
        <v>-73.819678999999994</v>
      </c>
      <c r="J13" t="s">
        <v>22</v>
      </c>
      <c r="K13">
        <v>394</v>
      </c>
      <c r="L13">
        <v>1</v>
      </c>
      <c r="M13">
        <v>143</v>
      </c>
      <c r="N13" s="1">
        <v>46164</v>
      </c>
      <c r="O13">
        <v>1.22</v>
      </c>
      <c r="P13">
        <v>8</v>
      </c>
      <c r="Q13">
        <v>305</v>
      </c>
      <c r="R13">
        <v>30</v>
      </c>
    </row>
    <row r="14" spans="1:19" x14ac:dyDescent="0.35">
      <c r="A14">
        <v>15580397</v>
      </c>
      <c r="B14" t="s">
        <v>49</v>
      </c>
      <c r="C14">
        <v>89705052</v>
      </c>
      <c r="D14">
        <v>1.46708659549505E+18</v>
      </c>
      <c r="E14" t="s">
        <v>50</v>
      </c>
      <c r="G14" t="s">
        <v>51</v>
      </c>
      <c r="H14">
        <v>42.656509999999997</v>
      </c>
      <c r="I14">
        <v>-73.778869999999998</v>
      </c>
      <c r="J14" t="s">
        <v>31</v>
      </c>
      <c r="K14">
        <v>69</v>
      </c>
      <c r="L14">
        <v>2</v>
      </c>
      <c r="M14">
        <v>55</v>
      </c>
      <c r="N14" s="1">
        <v>45981</v>
      </c>
      <c r="O14">
        <v>0.5</v>
      </c>
      <c r="P14">
        <v>2</v>
      </c>
      <c r="Q14">
        <v>97</v>
      </c>
      <c r="R14">
        <v>7</v>
      </c>
    </row>
    <row r="15" spans="1:19" x14ac:dyDescent="0.35">
      <c r="A15">
        <v>16531782</v>
      </c>
      <c r="B15" t="s">
        <v>52</v>
      </c>
      <c r="C15">
        <v>5691268</v>
      </c>
      <c r="D15">
        <v>1.4626870003749399E+18</v>
      </c>
      <c r="E15" t="s">
        <v>33</v>
      </c>
      <c r="G15" t="s">
        <v>34</v>
      </c>
      <c r="H15">
        <v>42.66075</v>
      </c>
      <c r="I15">
        <v>-73.806049999999999</v>
      </c>
      <c r="J15" t="s">
        <v>31</v>
      </c>
      <c r="K15">
        <v>92</v>
      </c>
      <c r="L15">
        <v>1</v>
      </c>
      <c r="M15">
        <v>604</v>
      </c>
      <c r="N15" s="1">
        <v>46174</v>
      </c>
      <c r="O15">
        <v>8.1999999999999993</v>
      </c>
      <c r="P15">
        <v>2</v>
      </c>
      <c r="Q15">
        <v>333</v>
      </c>
      <c r="R15">
        <v>108</v>
      </c>
    </row>
    <row r="16" spans="1:19" ht="101.5" x14ac:dyDescent="0.35">
      <c r="A16">
        <v>17238066</v>
      </c>
      <c r="B16" s="2" t="s">
        <v>53</v>
      </c>
      <c r="C16">
        <v>61700428</v>
      </c>
      <c r="D16">
        <v>1.4667591417362801E+18</v>
      </c>
      <c r="E16" t="s">
        <v>39</v>
      </c>
      <c r="G16" t="s">
        <v>54</v>
      </c>
      <c r="H16">
        <v>42.676139999999997</v>
      </c>
      <c r="I16">
        <v>-73.781689999999998</v>
      </c>
      <c r="J16" t="s">
        <v>31</v>
      </c>
      <c r="K16">
        <v>61</v>
      </c>
      <c r="L16">
        <v>15</v>
      </c>
      <c r="M16">
        <v>132</v>
      </c>
      <c r="N16" s="1">
        <v>45505</v>
      </c>
      <c r="O16">
        <v>1.18</v>
      </c>
      <c r="P16">
        <v>2</v>
      </c>
      <c r="Q16">
        <v>364</v>
      </c>
      <c r="R16">
        <v>0</v>
      </c>
    </row>
    <row r="17" spans="1:18" x14ac:dyDescent="0.35">
      <c r="A17">
        <v>17514620</v>
      </c>
      <c r="B17" t="s">
        <v>55</v>
      </c>
      <c r="C17">
        <v>36438637</v>
      </c>
      <c r="D17">
        <v>1.46267200239136E+18</v>
      </c>
      <c r="E17" t="s">
        <v>46</v>
      </c>
      <c r="G17" t="s">
        <v>47</v>
      </c>
      <c r="H17">
        <v>42.6584</v>
      </c>
      <c r="I17">
        <v>-73.783090000000001</v>
      </c>
      <c r="J17" t="s">
        <v>31</v>
      </c>
      <c r="K17">
        <v>52</v>
      </c>
      <c r="L17">
        <v>1</v>
      </c>
      <c r="M17">
        <v>56</v>
      </c>
      <c r="N17" s="1">
        <v>45598</v>
      </c>
      <c r="O17">
        <v>0.5</v>
      </c>
      <c r="P17">
        <v>2</v>
      </c>
      <c r="Q17">
        <v>332</v>
      </c>
      <c r="R17">
        <v>0</v>
      </c>
    </row>
    <row r="18" spans="1:18" x14ac:dyDescent="0.35">
      <c r="A18">
        <v>18341426</v>
      </c>
      <c r="B18" t="s">
        <v>56</v>
      </c>
      <c r="C18">
        <v>4259750</v>
      </c>
      <c r="D18">
        <v>1.4625345292948301E+18</v>
      </c>
      <c r="E18" t="s">
        <v>36</v>
      </c>
      <c r="G18" t="s">
        <v>37</v>
      </c>
      <c r="H18">
        <v>42.676369999999999</v>
      </c>
      <c r="I18">
        <v>-73.823949999999996</v>
      </c>
      <c r="J18" t="s">
        <v>22</v>
      </c>
      <c r="K18">
        <v>412</v>
      </c>
      <c r="L18">
        <v>2</v>
      </c>
      <c r="M18">
        <v>58</v>
      </c>
      <c r="N18" s="1">
        <v>45517</v>
      </c>
      <c r="O18">
        <v>0.57999999999999996</v>
      </c>
      <c r="P18">
        <v>8</v>
      </c>
      <c r="Q18">
        <v>350</v>
      </c>
      <c r="R18">
        <v>0</v>
      </c>
    </row>
    <row r="19" spans="1:18" x14ac:dyDescent="0.35">
      <c r="A19">
        <v>19527043</v>
      </c>
      <c r="B19" t="s">
        <v>57</v>
      </c>
      <c r="C19">
        <v>15223767</v>
      </c>
      <c r="D19">
        <v>1.4629571908068201E+18</v>
      </c>
      <c r="E19" t="s">
        <v>58</v>
      </c>
      <c r="G19" t="s">
        <v>51</v>
      </c>
      <c r="H19">
        <v>42.653120000000001</v>
      </c>
      <c r="I19">
        <v>-73.781610000000001</v>
      </c>
      <c r="J19" t="s">
        <v>31</v>
      </c>
      <c r="K19">
        <v>92</v>
      </c>
      <c r="L19">
        <v>1</v>
      </c>
      <c r="M19">
        <v>92</v>
      </c>
      <c r="N19" s="1">
        <v>46122</v>
      </c>
      <c r="O19">
        <v>0.99</v>
      </c>
      <c r="P19">
        <v>3</v>
      </c>
      <c r="Q19">
        <v>228</v>
      </c>
      <c r="R19">
        <v>10</v>
      </c>
    </row>
    <row r="20" spans="1:18" x14ac:dyDescent="0.35">
      <c r="A20">
        <v>20519885</v>
      </c>
      <c r="B20" t="s">
        <v>59</v>
      </c>
      <c r="C20">
        <v>67171774</v>
      </c>
      <c r="D20">
        <v>1.4668300170614001E+18</v>
      </c>
      <c r="E20" t="s">
        <v>60</v>
      </c>
      <c r="G20" t="s">
        <v>34</v>
      </c>
      <c r="H20">
        <v>42.658459999999998</v>
      </c>
      <c r="I20">
        <v>-73.802009999999996</v>
      </c>
      <c r="J20" t="s">
        <v>22</v>
      </c>
      <c r="K20">
        <v>388</v>
      </c>
      <c r="L20">
        <v>4</v>
      </c>
      <c r="M20">
        <v>132</v>
      </c>
      <c r="N20" s="1">
        <v>46169</v>
      </c>
      <c r="O20">
        <v>1.26</v>
      </c>
      <c r="P20">
        <v>1</v>
      </c>
      <c r="Q20">
        <v>334</v>
      </c>
      <c r="R20">
        <v>15</v>
      </c>
    </row>
    <row r="21" spans="1:18" x14ac:dyDescent="0.35">
      <c r="A21">
        <v>20620135</v>
      </c>
      <c r="B21" t="s">
        <v>61</v>
      </c>
      <c r="C21">
        <v>4259750</v>
      </c>
      <c r="D21">
        <v>1.4625345292948301E+18</v>
      </c>
      <c r="E21" t="s">
        <v>36</v>
      </c>
      <c r="G21" t="s">
        <v>37</v>
      </c>
      <c r="H21">
        <v>42.674999999999997</v>
      </c>
      <c r="I21">
        <v>-73.823819999999998</v>
      </c>
      <c r="J21" t="s">
        <v>22</v>
      </c>
      <c r="K21">
        <v>246</v>
      </c>
      <c r="L21">
        <v>1</v>
      </c>
      <c r="M21">
        <v>102</v>
      </c>
      <c r="N21" s="1">
        <v>46089</v>
      </c>
      <c r="O21">
        <v>0.97</v>
      </c>
      <c r="P21">
        <v>8</v>
      </c>
      <c r="Q21">
        <v>324</v>
      </c>
      <c r="R21">
        <v>21</v>
      </c>
    </row>
    <row r="22" spans="1:18" x14ac:dyDescent="0.35">
      <c r="A22">
        <v>20633175</v>
      </c>
      <c r="B22" t="s">
        <v>62</v>
      </c>
      <c r="C22">
        <v>65414985</v>
      </c>
      <c r="D22">
        <v>1.4668089859030799E+18</v>
      </c>
      <c r="E22" t="s">
        <v>63</v>
      </c>
      <c r="G22" t="s">
        <v>64</v>
      </c>
      <c r="H22">
        <v>42.649389999999997</v>
      </c>
      <c r="I22">
        <v>-73.768649999999994</v>
      </c>
      <c r="J22" t="s">
        <v>22</v>
      </c>
      <c r="K22">
        <v>194</v>
      </c>
      <c r="L22">
        <v>2</v>
      </c>
      <c r="M22">
        <v>132</v>
      </c>
      <c r="N22" s="1">
        <v>45950</v>
      </c>
      <c r="O22">
        <v>1.32</v>
      </c>
      <c r="P22">
        <v>2</v>
      </c>
      <c r="Q22">
        <v>355</v>
      </c>
      <c r="R22">
        <v>1</v>
      </c>
    </row>
    <row r="23" spans="1:18" x14ac:dyDescent="0.35">
      <c r="A23">
        <v>20671966</v>
      </c>
      <c r="B23" t="s">
        <v>65</v>
      </c>
      <c r="C23">
        <v>98744672</v>
      </c>
      <c r="D23">
        <v>1.4628674422792599E+18</v>
      </c>
      <c r="E23" t="s">
        <v>66</v>
      </c>
      <c r="G23" t="s">
        <v>51</v>
      </c>
      <c r="H23">
        <v>42.655320000000003</v>
      </c>
      <c r="I23">
        <v>-73.782439999999994</v>
      </c>
      <c r="J23" t="s">
        <v>22</v>
      </c>
      <c r="K23">
        <v>129</v>
      </c>
      <c r="L23">
        <v>2</v>
      </c>
      <c r="M23">
        <v>54</v>
      </c>
      <c r="N23" s="1">
        <v>46170</v>
      </c>
      <c r="O23">
        <v>0.51</v>
      </c>
      <c r="P23">
        <v>8</v>
      </c>
      <c r="Q23">
        <v>258</v>
      </c>
      <c r="R23">
        <v>6</v>
      </c>
    </row>
    <row r="24" spans="1:18" x14ac:dyDescent="0.35">
      <c r="A24">
        <v>21052414</v>
      </c>
      <c r="B24" t="s">
        <v>67</v>
      </c>
      <c r="C24">
        <v>135717458</v>
      </c>
      <c r="D24">
        <v>1.4683521579747899E+18</v>
      </c>
      <c r="E24" t="s">
        <v>46</v>
      </c>
      <c r="G24" t="s">
        <v>68</v>
      </c>
      <c r="H24">
        <v>42.665649999999999</v>
      </c>
      <c r="I24">
        <v>-73.779750000000007</v>
      </c>
      <c r="J24" t="s">
        <v>31</v>
      </c>
      <c r="K24">
        <v>51</v>
      </c>
      <c r="L24">
        <v>18</v>
      </c>
      <c r="M24">
        <v>49</v>
      </c>
      <c r="N24" s="1">
        <v>46031</v>
      </c>
      <c r="O24">
        <v>0.51</v>
      </c>
      <c r="P24">
        <v>3</v>
      </c>
      <c r="Q24">
        <v>359</v>
      </c>
      <c r="R24">
        <v>3</v>
      </c>
    </row>
    <row r="25" spans="1:18" x14ac:dyDescent="0.35">
      <c r="A25">
        <v>21392315</v>
      </c>
      <c r="B25" t="s">
        <v>69</v>
      </c>
      <c r="C25">
        <v>98744672</v>
      </c>
      <c r="D25">
        <v>1.4628674422792599E+18</v>
      </c>
      <c r="E25" t="s">
        <v>66</v>
      </c>
      <c r="G25" t="s">
        <v>51</v>
      </c>
      <c r="H25">
        <v>42.65372</v>
      </c>
      <c r="I25">
        <v>-73.782439999999994</v>
      </c>
      <c r="J25" t="s">
        <v>22</v>
      </c>
      <c r="K25">
        <v>132</v>
      </c>
      <c r="L25">
        <v>2</v>
      </c>
      <c r="M25">
        <v>140</v>
      </c>
      <c r="N25" s="1">
        <v>46081</v>
      </c>
      <c r="O25">
        <v>1.34</v>
      </c>
      <c r="P25">
        <v>8</v>
      </c>
      <c r="Q25">
        <v>259</v>
      </c>
      <c r="R25">
        <v>8</v>
      </c>
    </row>
    <row r="26" spans="1:18" x14ac:dyDescent="0.35">
      <c r="A26">
        <v>21449583</v>
      </c>
      <c r="B26" t="s">
        <v>70</v>
      </c>
      <c r="C26">
        <v>4259750</v>
      </c>
      <c r="D26">
        <v>1.4625345292948301E+18</v>
      </c>
      <c r="E26" t="s">
        <v>36</v>
      </c>
      <c r="G26" t="s">
        <v>37</v>
      </c>
      <c r="H26">
        <v>42.675469999999997</v>
      </c>
      <c r="I26">
        <v>-73.824020000000004</v>
      </c>
      <c r="J26" t="s">
        <v>22</v>
      </c>
      <c r="K26">
        <v>846</v>
      </c>
      <c r="L26">
        <v>4</v>
      </c>
      <c r="M26">
        <v>9</v>
      </c>
      <c r="N26" s="1">
        <v>45874</v>
      </c>
      <c r="O26">
        <v>0.09</v>
      </c>
      <c r="P26">
        <v>8</v>
      </c>
      <c r="Q26">
        <v>364</v>
      </c>
      <c r="R26">
        <v>1</v>
      </c>
    </row>
    <row r="27" spans="1:18" x14ac:dyDescent="0.35">
      <c r="A27">
        <v>21752534</v>
      </c>
      <c r="B27" t="s">
        <v>71</v>
      </c>
      <c r="C27">
        <v>152762198</v>
      </c>
      <c r="D27">
        <v>1.4684980323377999E+18</v>
      </c>
      <c r="E27" t="s">
        <v>72</v>
      </c>
      <c r="G27" t="s">
        <v>47</v>
      </c>
      <c r="H27">
        <v>42.660449999999997</v>
      </c>
      <c r="I27">
        <v>-73.778329999999997</v>
      </c>
      <c r="J27" t="s">
        <v>22</v>
      </c>
      <c r="K27">
        <v>114</v>
      </c>
      <c r="L27">
        <v>3</v>
      </c>
      <c r="M27">
        <v>191</v>
      </c>
      <c r="N27" s="1">
        <v>46155</v>
      </c>
      <c r="O27">
        <v>1.83</v>
      </c>
      <c r="P27">
        <v>9</v>
      </c>
      <c r="Q27">
        <v>236</v>
      </c>
      <c r="R27">
        <v>10</v>
      </c>
    </row>
    <row r="28" spans="1:18" x14ac:dyDescent="0.35">
      <c r="A28">
        <v>21769213</v>
      </c>
      <c r="B28" t="s">
        <v>73</v>
      </c>
      <c r="C28">
        <v>135717458</v>
      </c>
      <c r="D28">
        <v>1.4683521579747899E+18</v>
      </c>
      <c r="E28" t="s">
        <v>46</v>
      </c>
      <c r="G28" t="s">
        <v>40</v>
      </c>
      <c r="H28">
        <v>42.66572</v>
      </c>
      <c r="I28">
        <v>-73.77834</v>
      </c>
      <c r="J28" t="s">
        <v>31</v>
      </c>
      <c r="L28">
        <v>18</v>
      </c>
      <c r="M28">
        <v>36</v>
      </c>
      <c r="N28" s="1">
        <v>46052</v>
      </c>
      <c r="O28">
        <v>0.35</v>
      </c>
      <c r="P28">
        <v>3</v>
      </c>
      <c r="Q28">
        <v>17</v>
      </c>
      <c r="R28">
        <v>4</v>
      </c>
    </row>
    <row r="29" spans="1:18" x14ac:dyDescent="0.35">
      <c r="A29">
        <v>21769439</v>
      </c>
      <c r="B29" t="s">
        <v>74</v>
      </c>
      <c r="C29">
        <v>135717458</v>
      </c>
      <c r="D29">
        <v>1.4683521579747899E+18</v>
      </c>
      <c r="E29" t="s">
        <v>46</v>
      </c>
      <c r="G29" t="s">
        <v>40</v>
      </c>
      <c r="H29">
        <v>42.667029999999997</v>
      </c>
      <c r="I29">
        <v>-73.778419999999997</v>
      </c>
      <c r="J29" t="s">
        <v>31</v>
      </c>
      <c r="K29">
        <v>49</v>
      </c>
      <c r="L29">
        <v>20</v>
      </c>
      <c r="M29">
        <v>28</v>
      </c>
      <c r="N29" s="1">
        <v>46024</v>
      </c>
      <c r="O29">
        <v>0.27</v>
      </c>
      <c r="P29">
        <v>3</v>
      </c>
      <c r="Q29">
        <v>303</v>
      </c>
      <c r="R29">
        <v>2</v>
      </c>
    </row>
    <row r="30" spans="1:18" x14ac:dyDescent="0.35">
      <c r="A30">
        <v>22398196</v>
      </c>
      <c r="B30" t="s">
        <v>75</v>
      </c>
      <c r="C30">
        <v>98744672</v>
      </c>
      <c r="D30">
        <v>1.4628674422792599E+18</v>
      </c>
      <c r="E30" t="s">
        <v>66</v>
      </c>
      <c r="G30" t="s">
        <v>51</v>
      </c>
      <c r="H30">
        <v>42.655009999999997</v>
      </c>
      <c r="I30">
        <v>-73.781220000000005</v>
      </c>
      <c r="J30" t="s">
        <v>31</v>
      </c>
      <c r="K30">
        <v>103</v>
      </c>
      <c r="L30">
        <v>2</v>
      </c>
      <c r="M30">
        <v>142</v>
      </c>
      <c r="N30" s="1">
        <v>46184</v>
      </c>
      <c r="O30">
        <v>1.38</v>
      </c>
      <c r="P30">
        <v>8</v>
      </c>
      <c r="Q30">
        <v>312</v>
      </c>
      <c r="R30">
        <v>20</v>
      </c>
    </row>
    <row r="31" spans="1:18" x14ac:dyDescent="0.35">
      <c r="A31">
        <v>24606880</v>
      </c>
      <c r="B31" t="s">
        <v>76</v>
      </c>
      <c r="C31">
        <v>98744672</v>
      </c>
      <c r="D31">
        <v>1.4628674422792599E+18</v>
      </c>
      <c r="E31" t="s">
        <v>66</v>
      </c>
      <c r="G31" t="s">
        <v>51</v>
      </c>
      <c r="H31">
        <v>42.654310000000002</v>
      </c>
      <c r="I31">
        <v>-73.781779999999998</v>
      </c>
      <c r="J31" t="s">
        <v>31</v>
      </c>
      <c r="K31">
        <v>97</v>
      </c>
      <c r="L31">
        <v>2</v>
      </c>
      <c r="M31">
        <v>58</v>
      </c>
      <c r="N31" s="1">
        <v>46168</v>
      </c>
      <c r="O31">
        <v>0.62</v>
      </c>
      <c r="P31">
        <v>8</v>
      </c>
      <c r="Q31">
        <v>352</v>
      </c>
      <c r="R31">
        <v>8</v>
      </c>
    </row>
    <row r="32" spans="1:18" x14ac:dyDescent="0.35">
      <c r="A32">
        <v>25549565</v>
      </c>
      <c r="B32" t="s">
        <v>77</v>
      </c>
      <c r="C32">
        <v>9666970</v>
      </c>
      <c r="D32">
        <v>1.4628201207263301E+18</v>
      </c>
      <c r="E32" t="s">
        <v>78</v>
      </c>
      <c r="G32" t="s">
        <v>25</v>
      </c>
      <c r="H32">
        <v>42.653449999999999</v>
      </c>
      <c r="I32">
        <v>-73.764499999999998</v>
      </c>
      <c r="J32" t="s">
        <v>22</v>
      </c>
      <c r="K32">
        <v>115</v>
      </c>
      <c r="L32">
        <v>1</v>
      </c>
      <c r="M32">
        <v>996</v>
      </c>
      <c r="N32" s="1">
        <v>46173</v>
      </c>
      <c r="O32">
        <v>10.199999999999999</v>
      </c>
      <c r="P32">
        <v>1</v>
      </c>
      <c r="Q32">
        <v>102</v>
      </c>
      <c r="R32">
        <v>61</v>
      </c>
    </row>
    <row r="33" spans="1:18" x14ac:dyDescent="0.35">
      <c r="A33">
        <v>26139592</v>
      </c>
      <c r="B33" t="s">
        <v>79</v>
      </c>
      <c r="C33">
        <v>6833937</v>
      </c>
      <c r="D33">
        <v>1.5293151560495099E+18</v>
      </c>
      <c r="E33" t="s">
        <v>80</v>
      </c>
      <c r="G33" t="s">
        <v>25</v>
      </c>
      <c r="H33">
        <v>42.654029999999999</v>
      </c>
      <c r="I33">
        <v>-73.763249999999999</v>
      </c>
      <c r="J33" t="s">
        <v>22</v>
      </c>
      <c r="K33">
        <v>137</v>
      </c>
      <c r="L33">
        <v>2</v>
      </c>
      <c r="M33">
        <v>173</v>
      </c>
      <c r="N33" s="1">
        <v>46187</v>
      </c>
      <c r="O33">
        <v>1.81</v>
      </c>
      <c r="P33">
        <v>1</v>
      </c>
      <c r="Q33">
        <v>309</v>
      </c>
      <c r="R33">
        <v>31</v>
      </c>
    </row>
    <row r="34" spans="1:18" x14ac:dyDescent="0.35">
      <c r="A34">
        <v>27670660</v>
      </c>
      <c r="B34" t="s">
        <v>81</v>
      </c>
      <c r="C34">
        <v>98744672</v>
      </c>
      <c r="D34">
        <v>1.4628674422792599E+18</v>
      </c>
      <c r="E34" t="s">
        <v>66</v>
      </c>
      <c r="G34" t="s">
        <v>51</v>
      </c>
      <c r="H34">
        <v>42.654308319091797</v>
      </c>
      <c r="I34">
        <v>-73.781776428222599</v>
      </c>
      <c r="J34" t="s">
        <v>31</v>
      </c>
      <c r="K34">
        <v>100</v>
      </c>
      <c r="L34">
        <v>2</v>
      </c>
      <c r="M34">
        <v>39</v>
      </c>
      <c r="N34" s="1">
        <v>46160</v>
      </c>
      <c r="O34">
        <v>0.44</v>
      </c>
      <c r="P34">
        <v>8</v>
      </c>
      <c r="Q34">
        <v>296</v>
      </c>
      <c r="R34">
        <v>13</v>
      </c>
    </row>
    <row r="35" spans="1:18" x14ac:dyDescent="0.35">
      <c r="A35">
        <v>27692601</v>
      </c>
      <c r="B35" t="s">
        <v>82</v>
      </c>
      <c r="C35">
        <v>202580880</v>
      </c>
      <c r="D35">
        <v>1.4690570118988001E+18</v>
      </c>
      <c r="E35" t="s">
        <v>83</v>
      </c>
      <c r="G35" t="s">
        <v>84</v>
      </c>
      <c r="H35">
        <v>42.645139999999998</v>
      </c>
      <c r="I35">
        <v>-73.80668</v>
      </c>
      <c r="J35" t="s">
        <v>22</v>
      </c>
      <c r="K35">
        <v>343</v>
      </c>
      <c r="L35">
        <v>2</v>
      </c>
      <c r="M35">
        <v>17</v>
      </c>
      <c r="N35" s="1">
        <v>46159</v>
      </c>
      <c r="O35">
        <v>0.18</v>
      </c>
      <c r="P35">
        <v>1</v>
      </c>
      <c r="Q35">
        <v>169</v>
      </c>
      <c r="R35">
        <v>3</v>
      </c>
    </row>
    <row r="36" spans="1:18" x14ac:dyDescent="0.35">
      <c r="A36">
        <v>28400263</v>
      </c>
      <c r="B36" t="s">
        <v>85</v>
      </c>
      <c r="C36">
        <v>15223767</v>
      </c>
      <c r="D36">
        <v>1.4629571908068201E+18</v>
      </c>
      <c r="E36" t="s">
        <v>58</v>
      </c>
      <c r="G36" t="s">
        <v>51</v>
      </c>
      <c r="H36">
        <v>42.654640000000001</v>
      </c>
      <c r="I36">
        <v>-73.783479999999997</v>
      </c>
      <c r="J36" t="s">
        <v>31</v>
      </c>
      <c r="K36">
        <v>69</v>
      </c>
      <c r="L36">
        <v>1</v>
      </c>
      <c r="M36">
        <v>280</v>
      </c>
      <c r="N36" s="1">
        <v>46150</v>
      </c>
      <c r="O36">
        <v>3.03</v>
      </c>
      <c r="P36">
        <v>3</v>
      </c>
      <c r="Q36">
        <v>224</v>
      </c>
      <c r="R36">
        <v>10</v>
      </c>
    </row>
    <row r="37" spans="1:18" x14ac:dyDescent="0.35">
      <c r="A37">
        <v>28722270</v>
      </c>
      <c r="B37" t="s">
        <v>86</v>
      </c>
      <c r="C37">
        <v>44434571</v>
      </c>
      <c r="D37">
        <v>1.46269698801421E+18</v>
      </c>
      <c r="E37" t="s">
        <v>87</v>
      </c>
      <c r="G37" t="s">
        <v>28</v>
      </c>
      <c r="H37">
        <v>42.645350000000001</v>
      </c>
      <c r="I37">
        <v>-73.753649999999993</v>
      </c>
      <c r="J37" t="s">
        <v>22</v>
      </c>
      <c r="K37">
        <v>142</v>
      </c>
      <c r="L37">
        <v>1</v>
      </c>
      <c r="M37">
        <v>749</v>
      </c>
      <c r="N37" s="1">
        <v>46182</v>
      </c>
      <c r="O37">
        <v>8.14</v>
      </c>
      <c r="P37">
        <v>11</v>
      </c>
      <c r="Q37">
        <v>353</v>
      </c>
      <c r="R37">
        <v>57</v>
      </c>
    </row>
    <row r="38" spans="1:18" x14ac:dyDescent="0.35">
      <c r="A38">
        <v>28868857</v>
      </c>
      <c r="B38" t="s">
        <v>88</v>
      </c>
      <c r="C38">
        <v>44434571</v>
      </c>
      <c r="D38">
        <v>1.46269698801421E+18</v>
      </c>
      <c r="E38" t="s">
        <v>87</v>
      </c>
      <c r="G38" t="s">
        <v>28</v>
      </c>
      <c r="H38">
        <v>42.645350000000001</v>
      </c>
      <c r="I38">
        <v>-73.753649999999993</v>
      </c>
      <c r="J38" t="s">
        <v>22</v>
      </c>
      <c r="K38">
        <v>119</v>
      </c>
      <c r="L38">
        <v>1</v>
      </c>
      <c r="M38">
        <v>692</v>
      </c>
      <c r="N38" s="1">
        <v>46175</v>
      </c>
      <c r="O38">
        <v>7.57</v>
      </c>
      <c r="P38">
        <v>11</v>
      </c>
      <c r="Q38">
        <v>338</v>
      </c>
      <c r="R38">
        <v>61</v>
      </c>
    </row>
    <row r="39" spans="1:18" ht="72.5" x14ac:dyDescent="0.35">
      <c r="A39">
        <v>28929840</v>
      </c>
      <c r="B39" s="2" t="s">
        <v>89</v>
      </c>
      <c r="C39">
        <v>194113768</v>
      </c>
      <c r="D39">
        <v>1.4690108903682701E+18</v>
      </c>
      <c r="E39" t="s">
        <v>90</v>
      </c>
      <c r="G39" t="s">
        <v>91</v>
      </c>
      <c r="H39">
        <v>42.673699999999997</v>
      </c>
      <c r="I39">
        <v>-73.753129999999999</v>
      </c>
      <c r="J39" t="s">
        <v>31</v>
      </c>
      <c r="K39">
        <v>195</v>
      </c>
      <c r="L39">
        <v>1</v>
      </c>
      <c r="M39">
        <v>9</v>
      </c>
      <c r="N39" s="1">
        <v>46159</v>
      </c>
      <c r="O39">
        <v>0.1</v>
      </c>
      <c r="P39">
        <v>1</v>
      </c>
      <c r="Q39">
        <v>149</v>
      </c>
      <c r="R39">
        <v>2</v>
      </c>
    </row>
    <row r="40" spans="1:18" x14ac:dyDescent="0.35">
      <c r="A40">
        <v>29605579</v>
      </c>
      <c r="B40" t="s">
        <v>92</v>
      </c>
      <c r="C40">
        <v>19648678</v>
      </c>
      <c r="D40">
        <v>1.4630870240167099E+18</v>
      </c>
      <c r="E40" t="s">
        <v>24</v>
      </c>
      <c r="G40" t="s">
        <v>25</v>
      </c>
      <c r="H40">
        <v>42.652349999999998</v>
      </c>
      <c r="I40">
        <v>-73.767139999999998</v>
      </c>
      <c r="J40" t="s">
        <v>22</v>
      </c>
      <c r="K40">
        <v>186</v>
      </c>
      <c r="L40">
        <v>1</v>
      </c>
      <c r="M40">
        <v>137</v>
      </c>
      <c r="N40" s="1">
        <v>46144</v>
      </c>
      <c r="O40">
        <v>1.48</v>
      </c>
      <c r="P40">
        <v>7</v>
      </c>
      <c r="Q40">
        <v>357</v>
      </c>
      <c r="R40">
        <v>30</v>
      </c>
    </row>
    <row r="41" spans="1:18" x14ac:dyDescent="0.35">
      <c r="A41">
        <v>30189794</v>
      </c>
      <c r="B41" t="s">
        <v>93</v>
      </c>
      <c r="C41">
        <v>98744672</v>
      </c>
      <c r="D41">
        <v>1.4628674422792599E+18</v>
      </c>
      <c r="E41" t="s">
        <v>66</v>
      </c>
      <c r="G41" t="s">
        <v>51</v>
      </c>
      <c r="H41">
        <v>42.653300000000002</v>
      </c>
      <c r="I41">
        <v>-73.781139999999994</v>
      </c>
      <c r="J41" t="s">
        <v>31</v>
      </c>
      <c r="K41">
        <v>100</v>
      </c>
      <c r="L41">
        <v>2</v>
      </c>
      <c r="M41">
        <v>78</v>
      </c>
      <c r="N41" s="1">
        <v>46142</v>
      </c>
      <c r="O41">
        <v>0.87</v>
      </c>
      <c r="P41">
        <v>8</v>
      </c>
      <c r="Q41">
        <v>225</v>
      </c>
      <c r="R41">
        <v>10</v>
      </c>
    </row>
    <row r="42" spans="1:18" x14ac:dyDescent="0.35">
      <c r="A42">
        <v>32279028</v>
      </c>
      <c r="B42" t="s">
        <v>94</v>
      </c>
      <c r="C42">
        <v>172223381</v>
      </c>
      <c r="D42">
        <v>1.46867199363869E+18</v>
      </c>
      <c r="E42" t="s">
        <v>95</v>
      </c>
      <c r="G42" t="s">
        <v>84</v>
      </c>
      <c r="H42">
        <v>42.649360000000001</v>
      </c>
      <c r="I42">
        <v>-73.802779999999998</v>
      </c>
      <c r="J42" t="s">
        <v>31</v>
      </c>
      <c r="L42">
        <v>1</v>
      </c>
      <c r="M42">
        <v>220</v>
      </c>
      <c r="N42" s="1">
        <v>46080</v>
      </c>
      <c r="O42">
        <v>2.46</v>
      </c>
      <c r="P42">
        <v>2</v>
      </c>
      <c r="Q42">
        <v>0</v>
      </c>
      <c r="R42">
        <v>7</v>
      </c>
    </row>
    <row r="43" spans="1:18" x14ac:dyDescent="0.35">
      <c r="A43">
        <v>32450400</v>
      </c>
      <c r="B43" t="s">
        <v>96</v>
      </c>
      <c r="C43">
        <v>97330032</v>
      </c>
      <c r="D43">
        <v>1.4671724384505001E+18</v>
      </c>
      <c r="E43" t="s">
        <v>97</v>
      </c>
      <c r="G43" t="s">
        <v>91</v>
      </c>
      <c r="H43">
        <v>42.676099999999998</v>
      </c>
      <c r="I43">
        <v>-73.738249999999994</v>
      </c>
      <c r="J43" t="s">
        <v>31</v>
      </c>
      <c r="K43">
        <v>203</v>
      </c>
      <c r="L43">
        <v>3</v>
      </c>
      <c r="M43">
        <v>1</v>
      </c>
      <c r="N43" s="1">
        <v>45593</v>
      </c>
      <c r="O43">
        <v>0.05</v>
      </c>
      <c r="P43">
        <v>1</v>
      </c>
      <c r="Q43">
        <v>270</v>
      </c>
      <c r="R43">
        <v>0</v>
      </c>
    </row>
    <row r="44" spans="1:18" x14ac:dyDescent="0.35">
      <c r="A44">
        <v>32993402</v>
      </c>
      <c r="B44" t="s">
        <v>98</v>
      </c>
      <c r="C44">
        <v>44434571</v>
      </c>
      <c r="D44">
        <v>1.46269698801421E+18</v>
      </c>
      <c r="E44" t="s">
        <v>87</v>
      </c>
      <c r="G44" t="s">
        <v>28</v>
      </c>
      <c r="H44">
        <v>42.645629999999997</v>
      </c>
      <c r="I44">
        <v>-73.753110000000007</v>
      </c>
      <c r="J44" t="s">
        <v>22</v>
      </c>
      <c r="K44">
        <v>188</v>
      </c>
      <c r="L44">
        <v>1</v>
      </c>
      <c r="M44">
        <v>488</v>
      </c>
      <c r="N44" s="1">
        <v>46179</v>
      </c>
      <c r="O44">
        <v>5.53</v>
      </c>
      <c r="P44">
        <v>11</v>
      </c>
      <c r="Q44">
        <v>348</v>
      </c>
      <c r="R44">
        <v>36</v>
      </c>
    </row>
    <row r="45" spans="1:18" x14ac:dyDescent="0.35">
      <c r="A45">
        <v>33558235</v>
      </c>
      <c r="B45" t="s">
        <v>99</v>
      </c>
      <c r="C45">
        <v>44434571</v>
      </c>
      <c r="D45">
        <v>1.46269698801421E+18</v>
      </c>
      <c r="E45" t="s">
        <v>87</v>
      </c>
      <c r="G45" t="s">
        <v>28</v>
      </c>
      <c r="H45">
        <v>42.645850000000003</v>
      </c>
      <c r="I45">
        <v>-73.752970000000005</v>
      </c>
      <c r="J45" t="s">
        <v>22</v>
      </c>
      <c r="K45">
        <v>186</v>
      </c>
      <c r="L45">
        <v>1</v>
      </c>
      <c r="M45">
        <v>505</v>
      </c>
      <c r="N45" s="1">
        <v>46166</v>
      </c>
      <c r="O45">
        <v>5.79</v>
      </c>
      <c r="P45">
        <v>11</v>
      </c>
      <c r="Q45">
        <v>350</v>
      </c>
      <c r="R45">
        <v>42</v>
      </c>
    </row>
    <row r="46" spans="1:18" x14ac:dyDescent="0.35">
      <c r="A46">
        <v>35793179</v>
      </c>
      <c r="B46" t="s">
        <v>100</v>
      </c>
      <c r="C46">
        <v>15223767</v>
      </c>
      <c r="D46">
        <v>1.4629571908068201E+18</v>
      </c>
      <c r="E46" t="s">
        <v>58</v>
      </c>
      <c r="G46" t="s">
        <v>64</v>
      </c>
      <c r="H46">
        <v>42.652589999999996</v>
      </c>
      <c r="I46">
        <v>-73.782229999999998</v>
      </c>
      <c r="J46" t="s">
        <v>31</v>
      </c>
      <c r="K46">
        <v>69</v>
      </c>
      <c r="L46">
        <v>1</v>
      </c>
      <c r="M46">
        <v>224</v>
      </c>
      <c r="N46" s="1">
        <v>46113</v>
      </c>
      <c r="O46">
        <v>2.65</v>
      </c>
      <c r="P46">
        <v>3</v>
      </c>
      <c r="Q46">
        <v>228</v>
      </c>
      <c r="R46">
        <v>26</v>
      </c>
    </row>
    <row r="47" spans="1:18" x14ac:dyDescent="0.35">
      <c r="A47">
        <v>35914565</v>
      </c>
      <c r="B47" t="s">
        <v>101</v>
      </c>
      <c r="C47">
        <v>232967878</v>
      </c>
      <c r="D47">
        <v>1.4688023724058199E+18</v>
      </c>
      <c r="E47" t="s">
        <v>95</v>
      </c>
      <c r="G47" t="s">
        <v>28</v>
      </c>
      <c r="H47">
        <v>42.645060000000001</v>
      </c>
      <c r="I47">
        <v>-73.757270000000005</v>
      </c>
      <c r="J47" t="s">
        <v>22</v>
      </c>
      <c r="K47">
        <v>145</v>
      </c>
      <c r="L47">
        <v>2</v>
      </c>
      <c r="M47">
        <v>336</v>
      </c>
      <c r="N47" s="1">
        <v>46172</v>
      </c>
      <c r="O47">
        <v>3.97</v>
      </c>
      <c r="P47">
        <v>14</v>
      </c>
      <c r="Q47">
        <v>73</v>
      </c>
      <c r="R47">
        <v>25</v>
      </c>
    </row>
    <row r="48" spans="1:18" x14ac:dyDescent="0.35">
      <c r="A48">
        <v>36443605</v>
      </c>
      <c r="B48" t="s">
        <v>102</v>
      </c>
      <c r="C48">
        <v>188679144</v>
      </c>
      <c r="D48">
        <v>1.46897784365329E+18</v>
      </c>
      <c r="E48" t="s">
        <v>33</v>
      </c>
      <c r="G48" t="s">
        <v>68</v>
      </c>
      <c r="H48">
        <v>42.66619</v>
      </c>
      <c r="I48">
        <v>-73.790310000000005</v>
      </c>
      <c r="J48" t="s">
        <v>22</v>
      </c>
      <c r="K48">
        <v>97</v>
      </c>
      <c r="L48">
        <v>30</v>
      </c>
      <c r="M48">
        <v>54</v>
      </c>
      <c r="N48" s="1">
        <v>45518</v>
      </c>
      <c r="O48">
        <v>0.64</v>
      </c>
      <c r="P48">
        <v>11</v>
      </c>
      <c r="Q48">
        <v>365</v>
      </c>
      <c r="R48">
        <v>0</v>
      </c>
    </row>
    <row r="49" spans="1:18" x14ac:dyDescent="0.35">
      <c r="A49">
        <v>38321579</v>
      </c>
      <c r="B49" t="s">
        <v>103</v>
      </c>
      <c r="C49">
        <v>172223381</v>
      </c>
      <c r="D49">
        <v>1.46867199363869E+18</v>
      </c>
      <c r="E49" t="s">
        <v>95</v>
      </c>
      <c r="G49" t="s">
        <v>84</v>
      </c>
      <c r="H49">
        <v>42.650849999999998</v>
      </c>
      <c r="I49">
        <v>-73.802390000000003</v>
      </c>
      <c r="J49" t="s">
        <v>31</v>
      </c>
      <c r="K49">
        <v>75</v>
      </c>
      <c r="L49">
        <v>1</v>
      </c>
      <c r="M49">
        <v>490</v>
      </c>
      <c r="N49" s="1">
        <v>46187</v>
      </c>
      <c r="O49">
        <v>5.95</v>
      </c>
      <c r="P49">
        <v>2</v>
      </c>
      <c r="Q49">
        <v>236</v>
      </c>
      <c r="R49">
        <v>65</v>
      </c>
    </row>
    <row r="50" spans="1:18" x14ac:dyDescent="0.35">
      <c r="A50">
        <v>39093517</v>
      </c>
      <c r="B50" t="s">
        <v>104</v>
      </c>
      <c r="C50">
        <v>299638115</v>
      </c>
      <c r="D50">
        <v>1.4695394838626199E+18</v>
      </c>
      <c r="E50" t="s">
        <v>105</v>
      </c>
      <c r="G50" t="s">
        <v>25</v>
      </c>
      <c r="H50">
        <v>42.655070000000002</v>
      </c>
      <c r="I50">
        <v>-73.761380000000003</v>
      </c>
      <c r="J50" t="s">
        <v>22</v>
      </c>
      <c r="K50">
        <v>230</v>
      </c>
      <c r="L50">
        <v>1</v>
      </c>
      <c r="M50">
        <v>57</v>
      </c>
      <c r="N50" s="1">
        <v>46131</v>
      </c>
      <c r="O50">
        <v>0.72</v>
      </c>
      <c r="P50">
        <v>4</v>
      </c>
      <c r="Q50">
        <v>306</v>
      </c>
      <c r="R50">
        <v>11</v>
      </c>
    </row>
    <row r="51" spans="1:18" x14ac:dyDescent="0.35">
      <c r="A51">
        <v>39698576</v>
      </c>
      <c r="B51" t="s">
        <v>106</v>
      </c>
      <c r="C51">
        <v>188679144</v>
      </c>
      <c r="D51">
        <v>1.46897784365329E+18</v>
      </c>
      <c r="E51" t="s">
        <v>33</v>
      </c>
      <c r="G51" t="s">
        <v>51</v>
      </c>
      <c r="H51">
        <v>42.654829999999997</v>
      </c>
      <c r="I51">
        <v>-73.780330000000006</v>
      </c>
      <c r="J51" t="s">
        <v>22</v>
      </c>
      <c r="K51">
        <v>132</v>
      </c>
      <c r="L51">
        <v>5</v>
      </c>
      <c r="M51">
        <v>25</v>
      </c>
      <c r="N51" s="1">
        <v>46119</v>
      </c>
      <c r="O51">
        <v>0.31</v>
      </c>
      <c r="P51">
        <v>11</v>
      </c>
      <c r="Q51">
        <v>269</v>
      </c>
      <c r="R51">
        <v>1</v>
      </c>
    </row>
    <row r="52" spans="1:18" x14ac:dyDescent="0.35">
      <c r="A52">
        <v>39864828</v>
      </c>
      <c r="B52" t="s">
        <v>107</v>
      </c>
      <c r="C52">
        <v>10313615</v>
      </c>
      <c r="D52">
        <v>1.4625736369418601E+18</v>
      </c>
      <c r="E52" t="s">
        <v>108</v>
      </c>
      <c r="G52" t="s">
        <v>91</v>
      </c>
      <c r="H52">
        <v>42.660910000000001</v>
      </c>
      <c r="I52">
        <v>-73.742850000000004</v>
      </c>
      <c r="J52" t="s">
        <v>22</v>
      </c>
      <c r="K52">
        <v>303</v>
      </c>
      <c r="L52">
        <v>1</v>
      </c>
      <c r="M52">
        <v>247</v>
      </c>
      <c r="N52" s="1">
        <v>46138</v>
      </c>
      <c r="O52">
        <v>3.16</v>
      </c>
      <c r="P52">
        <v>1</v>
      </c>
      <c r="Q52">
        <v>169</v>
      </c>
      <c r="R52">
        <v>9</v>
      </c>
    </row>
    <row r="53" spans="1:18" x14ac:dyDescent="0.35">
      <c r="A53">
        <v>40491172</v>
      </c>
      <c r="B53" t="s">
        <v>109</v>
      </c>
      <c r="C53">
        <v>152762198</v>
      </c>
      <c r="D53">
        <v>1.4684980323377999E+18</v>
      </c>
      <c r="E53" t="s">
        <v>72</v>
      </c>
      <c r="G53" t="s">
        <v>68</v>
      </c>
      <c r="H53">
        <v>42.66827</v>
      </c>
      <c r="I53">
        <v>-73.792310000000001</v>
      </c>
      <c r="J53" t="s">
        <v>22</v>
      </c>
      <c r="K53">
        <v>137</v>
      </c>
      <c r="L53">
        <v>3</v>
      </c>
      <c r="M53">
        <v>147</v>
      </c>
      <c r="N53" s="1">
        <v>46159</v>
      </c>
      <c r="O53">
        <v>1.85</v>
      </c>
      <c r="P53">
        <v>9</v>
      </c>
      <c r="Q53">
        <v>254</v>
      </c>
      <c r="R53">
        <v>16</v>
      </c>
    </row>
    <row r="54" spans="1:18" x14ac:dyDescent="0.35">
      <c r="A54">
        <v>40828178</v>
      </c>
      <c r="B54" t="s">
        <v>110</v>
      </c>
      <c r="C54">
        <v>47491906</v>
      </c>
      <c r="D54">
        <v>1.46270682496911E+18</v>
      </c>
      <c r="E54" t="s">
        <v>111</v>
      </c>
      <c r="G54" t="s">
        <v>91</v>
      </c>
      <c r="H54">
        <v>42.677729999999997</v>
      </c>
      <c r="I54">
        <v>-73.738990000000001</v>
      </c>
      <c r="J54" t="s">
        <v>22</v>
      </c>
      <c r="K54">
        <v>177</v>
      </c>
      <c r="L54">
        <v>1</v>
      </c>
      <c r="M54">
        <v>175</v>
      </c>
      <c r="N54" s="1">
        <v>46184</v>
      </c>
      <c r="O54">
        <v>2.2400000000000002</v>
      </c>
      <c r="P54">
        <v>1</v>
      </c>
      <c r="Q54">
        <v>224</v>
      </c>
      <c r="R54">
        <v>2</v>
      </c>
    </row>
    <row r="55" spans="1:18" x14ac:dyDescent="0.35">
      <c r="A55">
        <v>42009788</v>
      </c>
      <c r="B55" t="s">
        <v>112</v>
      </c>
      <c r="C55">
        <v>188679144</v>
      </c>
      <c r="D55">
        <v>1.46897784365329E+18</v>
      </c>
      <c r="E55" t="s">
        <v>33</v>
      </c>
      <c r="G55" t="s">
        <v>25</v>
      </c>
      <c r="H55">
        <v>42.653149999999997</v>
      </c>
      <c r="I55">
        <v>-73.762020000000007</v>
      </c>
      <c r="J55" t="s">
        <v>22</v>
      </c>
      <c r="K55">
        <v>132</v>
      </c>
      <c r="L55">
        <v>7</v>
      </c>
      <c r="M55">
        <v>25</v>
      </c>
      <c r="N55" s="1">
        <v>45815</v>
      </c>
      <c r="O55">
        <v>0.32</v>
      </c>
      <c r="P55">
        <v>11</v>
      </c>
      <c r="Q55">
        <v>360</v>
      </c>
      <c r="R55">
        <v>0</v>
      </c>
    </row>
    <row r="56" spans="1:18" x14ac:dyDescent="0.35">
      <c r="A56">
        <v>42567833</v>
      </c>
      <c r="B56" t="s">
        <v>113</v>
      </c>
      <c r="C56">
        <v>339085327</v>
      </c>
      <c r="D56">
        <v>1.4696609074788201E+18</v>
      </c>
      <c r="E56" t="s">
        <v>114</v>
      </c>
      <c r="G56" t="s">
        <v>51</v>
      </c>
      <c r="H56">
        <v>42.655670000000001</v>
      </c>
      <c r="I56">
        <v>-73.785399999999996</v>
      </c>
      <c r="J56" t="s">
        <v>22</v>
      </c>
      <c r="K56">
        <v>78</v>
      </c>
      <c r="L56">
        <v>70</v>
      </c>
      <c r="M56">
        <v>0</v>
      </c>
      <c r="P56">
        <v>1</v>
      </c>
      <c r="Q56">
        <v>365</v>
      </c>
      <c r="R56">
        <v>0</v>
      </c>
    </row>
    <row r="57" spans="1:18" x14ac:dyDescent="0.35">
      <c r="A57">
        <v>42763847</v>
      </c>
      <c r="B57" t="s">
        <v>115</v>
      </c>
      <c r="C57">
        <v>649068</v>
      </c>
      <c r="D57">
        <v>1.4625249026715699E+18</v>
      </c>
      <c r="E57" t="s">
        <v>116</v>
      </c>
      <c r="G57" t="s">
        <v>117</v>
      </c>
      <c r="H57">
        <v>42.638759999999998</v>
      </c>
      <c r="I57">
        <v>-73.785349999999994</v>
      </c>
      <c r="J57" t="s">
        <v>22</v>
      </c>
      <c r="K57">
        <v>294</v>
      </c>
      <c r="L57">
        <v>1</v>
      </c>
      <c r="M57">
        <v>142</v>
      </c>
      <c r="N57" s="1">
        <v>46177</v>
      </c>
      <c r="O57">
        <v>1.9</v>
      </c>
      <c r="P57">
        <v>1</v>
      </c>
      <c r="Q57">
        <v>140</v>
      </c>
      <c r="R57">
        <v>24</v>
      </c>
    </row>
    <row r="58" spans="1:18" x14ac:dyDescent="0.35">
      <c r="A58">
        <v>43208391</v>
      </c>
      <c r="B58" t="s">
        <v>118</v>
      </c>
      <c r="C58">
        <v>272907816</v>
      </c>
      <c r="D58">
        <v>1.4694403115051599E+18</v>
      </c>
      <c r="E58" t="s">
        <v>119</v>
      </c>
      <c r="G58" t="s">
        <v>28</v>
      </c>
      <c r="H58">
        <v>42.644530000000003</v>
      </c>
      <c r="I58">
        <v>-73.754260000000002</v>
      </c>
      <c r="J58" t="s">
        <v>22</v>
      </c>
      <c r="K58">
        <v>293</v>
      </c>
      <c r="L58">
        <v>1</v>
      </c>
      <c r="M58">
        <v>134</v>
      </c>
      <c r="N58" s="1">
        <v>46180</v>
      </c>
      <c r="O58">
        <v>1.92</v>
      </c>
      <c r="P58">
        <v>3</v>
      </c>
      <c r="Q58">
        <v>74</v>
      </c>
      <c r="R58">
        <v>19</v>
      </c>
    </row>
    <row r="59" spans="1:18" x14ac:dyDescent="0.35">
      <c r="A59">
        <v>43459803</v>
      </c>
      <c r="B59" t="s">
        <v>120</v>
      </c>
      <c r="C59">
        <v>299638115</v>
      </c>
      <c r="D59">
        <v>1.4695394838626199E+18</v>
      </c>
      <c r="E59" t="s">
        <v>105</v>
      </c>
      <c r="G59" t="s">
        <v>25</v>
      </c>
      <c r="H59">
        <v>42.655560000000001</v>
      </c>
      <c r="I59">
        <v>-73.762050000000002</v>
      </c>
      <c r="J59" t="s">
        <v>22</v>
      </c>
      <c r="K59">
        <v>301</v>
      </c>
      <c r="L59">
        <v>1</v>
      </c>
      <c r="M59">
        <v>24</v>
      </c>
      <c r="N59" s="1">
        <v>46002</v>
      </c>
      <c r="O59">
        <v>0.37</v>
      </c>
      <c r="P59">
        <v>4</v>
      </c>
      <c r="Q59">
        <v>365</v>
      </c>
      <c r="R59">
        <v>6</v>
      </c>
    </row>
    <row r="60" spans="1:18" x14ac:dyDescent="0.35">
      <c r="A60">
        <v>43736299</v>
      </c>
      <c r="B60" t="s">
        <v>121</v>
      </c>
      <c r="C60">
        <v>349460842</v>
      </c>
      <c r="D60">
        <v>1.4696952540817001E+18</v>
      </c>
      <c r="E60" t="s">
        <v>122</v>
      </c>
      <c r="G60" t="s">
        <v>47</v>
      </c>
      <c r="H60">
        <v>42.662570000000002</v>
      </c>
      <c r="I60">
        <v>-73.782809999999998</v>
      </c>
      <c r="J60" t="s">
        <v>22</v>
      </c>
      <c r="M60">
        <v>131</v>
      </c>
      <c r="N60" s="1">
        <v>45593</v>
      </c>
      <c r="O60">
        <v>1.8</v>
      </c>
      <c r="P60">
        <v>21</v>
      </c>
      <c r="Q60">
        <v>0</v>
      </c>
      <c r="R60">
        <v>0</v>
      </c>
    </row>
    <row r="61" spans="1:18" x14ac:dyDescent="0.35">
      <c r="A61">
        <v>43955950</v>
      </c>
      <c r="B61" t="s">
        <v>123</v>
      </c>
      <c r="C61">
        <v>232967878</v>
      </c>
      <c r="D61">
        <v>1.4688023724058199E+18</v>
      </c>
      <c r="E61" t="s">
        <v>95</v>
      </c>
      <c r="G61" t="s">
        <v>84</v>
      </c>
      <c r="H61">
        <v>42.643830000000001</v>
      </c>
      <c r="I61">
        <v>-73.789259999999999</v>
      </c>
      <c r="J61" t="s">
        <v>22</v>
      </c>
      <c r="K61">
        <v>371</v>
      </c>
      <c r="L61">
        <v>2</v>
      </c>
      <c r="M61">
        <v>92</v>
      </c>
      <c r="N61" s="1">
        <v>46159</v>
      </c>
      <c r="O61">
        <v>1.27</v>
      </c>
      <c r="P61">
        <v>14</v>
      </c>
      <c r="Q61">
        <v>58</v>
      </c>
      <c r="R61">
        <v>1</v>
      </c>
    </row>
    <row r="62" spans="1:18" x14ac:dyDescent="0.35">
      <c r="A62">
        <v>44180048</v>
      </c>
      <c r="B62" t="s">
        <v>124</v>
      </c>
      <c r="C62">
        <v>355777684</v>
      </c>
      <c r="D62">
        <v>1.46351675768097E+18</v>
      </c>
      <c r="E62" t="s">
        <v>111</v>
      </c>
      <c r="G62" t="s">
        <v>25</v>
      </c>
      <c r="H62">
        <v>42.659350000000003</v>
      </c>
      <c r="I62">
        <v>-73.768050000000002</v>
      </c>
      <c r="J62" t="s">
        <v>22</v>
      </c>
      <c r="K62">
        <v>140</v>
      </c>
      <c r="L62">
        <v>1</v>
      </c>
      <c r="M62">
        <v>401</v>
      </c>
      <c r="N62" s="1">
        <v>46186</v>
      </c>
      <c r="O62">
        <v>5.57</v>
      </c>
      <c r="P62">
        <v>3</v>
      </c>
      <c r="Q62">
        <v>306</v>
      </c>
      <c r="R62">
        <v>29</v>
      </c>
    </row>
    <row r="63" spans="1:18" x14ac:dyDescent="0.35">
      <c r="A63">
        <v>44265426</v>
      </c>
      <c r="B63" t="s">
        <v>125</v>
      </c>
      <c r="C63">
        <v>355777684</v>
      </c>
      <c r="D63">
        <v>1.46351675768097E+18</v>
      </c>
      <c r="E63" t="s">
        <v>111</v>
      </c>
      <c r="G63" t="s">
        <v>25</v>
      </c>
      <c r="H63">
        <v>42.660060000000001</v>
      </c>
      <c r="I63">
        <v>-73.769660000000002</v>
      </c>
      <c r="J63" t="s">
        <v>22</v>
      </c>
      <c r="K63">
        <v>159</v>
      </c>
      <c r="L63">
        <v>1</v>
      </c>
      <c r="M63">
        <v>330</v>
      </c>
      <c r="N63" s="1">
        <v>46179</v>
      </c>
      <c r="O63">
        <v>4.6100000000000003</v>
      </c>
      <c r="P63">
        <v>3</v>
      </c>
      <c r="Q63">
        <v>320</v>
      </c>
      <c r="R63">
        <v>28</v>
      </c>
    </row>
    <row r="64" spans="1:18" x14ac:dyDescent="0.35">
      <c r="A64">
        <v>44450012</v>
      </c>
      <c r="B64" t="s">
        <v>126</v>
      </c>
      <c r="C64">
        <v>353498132</v>
      </c>
      <c r="D64">
        <v>1.4635138835511601E+18</v>
      </c>
      <c r="E64" t="s">
        <v>127</v>
      </c>
      <c r="G64" t="s">
        <v>84</v>
      </c>
      <c r="H64">
        <v>42.64808</v>
      </c>
      <c r="I64">
        <v>-73.799599999999998</v>
      </c>
      <c r="J64" t="s">
        <v>22</v>
      </c>
      <c r="K64">
        <v>174</v>
      </c>
      <c r="L64">
        <v>13</v>
      </c>
      <c r="M64">
        <v>28</v>
      </c>
      <c r="N64" s="1">
        <v>46125</v>
      </c>
      <c r="O64">
        <v>0.4</v>
      </c>
      <c r="P64">
        <v>6</v>
      </c>
      <c r="Q64">
        <v>242</v>
      </c>
      <c r="R64">
        <v>2</v>
      </c>
    </row>
    <row r="65" spans="1:18" x14ac:dyDescent="0.35">
      <c r="A65">
        <v>45024912</v>
      </c>
      <c r="B65" t="s">
        <v>128</v>
      </c>
      <c r="C65">
        <v>362851072</v>
      </c>
      <c r="D65">
        <v>1.46972862345616E+18</v>
      </c>
      <c r="E65" t="s">
        <v>129</v>
      </c>
      <c r="G65" t="s">
        <v>34</v>
      </c>
      <c r="H65">
        <v>42.661320000000003</v>
      </c>
      <c r="I65">
        <v>-73.795599999999993</v>
      </c>
      <c r="J65" t="s">
        <v>22</v>
      </c>
      <c r="K65">
        <v>168</v>
      </c>
      <c r="L65">
        <v>1</v>
      </c>
      <c r="M65">
        <v>134</v>
      </c>
      <c r="N65" s="1">
        <v>46180</v>
      </c>
      <c r="O65">
        <v>1.9</v>
      </c>
      <c r="P65">
        <v>1</v>
      </c>
      <c r="Q65">
        <v>358</v>
      </c>
      <c r="R65">
        <v>5</v>
      </c>
    </row>
    <row r="66" spans="1:18" x14ac:dyDescent="0.35">
      <c r="A66">
        <v>45074220</v>
      </c>
      <c r="B66" t="s">
        <v>130</v>
      </c>
      <c r="C66">
        <v>272907816</v>
      </c>
      <c r="D66">
        <v>1.4694403115051599E+18</v>
      </c>
      <c r="E66" t="s">
        <v>119</v>
      </c>
      <c r="G66" t="s">
        <v>28</v>
      </c>
      <c r="H66">
        <v>42.644539999999999</v>
      </c>
      <c r="I66">
        <v>-73.753690000000006</v>
      </c>
      <c r="J66" t="s">
        <v>22</v>
      </c>
      <c r="K66">
        <v>166</v>
      </c>
      <c r="L66">
        <v>1</v>
      </c>
      <c r="M66">
        <v>57</v>
      </c>
      <c r="N66" s="1">
        <v>46187</v>
      </c>
      <c r="O66">
        <v>0.99</v>
      </c>
      <c r="P66">
        <v>3</v>
      </c>
      <c r="Q66">
        <v>73</v>
      </c>
      <c r="R66">
        <v>17</v>
      </c>
    </row>
    <row r="67" spans="1:18" x14ac:dyDescent="0.35">
      <c r="A67">
        <v>45528939</v>
      </c>
      <c r="B67" t="s">
        <v>131</v>
      </c>
      <c r="C67">
        <v>47625981</v>
      </c>
      <c r="D67">
        <v>1.46270726328816E+18</v>
      </c>
      <c r="E67" t="s">
        <v>132</v>
      </c>
      <c r="G67" t="s">
        <v>28</v>
      </c>
      <c r="H67">
        <v>42.648009999999999</v>
      </c>
      <c r="I67">
        <v>-73.756680000000003</v>
      </c>
      <c r="J67" t="s">
        <v>22</v>
      </c>
      <c r="K67">
        <v>217</v>
      </c>
      <c r="L67">
        <v>1</v>
      </c>
      <c r="M67">
        <v>102</v>
      </c>
      <c r="N67" s="1">
        <v>46124</v>
      </c>
      <c r="O67">
        <v>1.56</v>
      </c>
      <c r="P67">
        <v>16</v>
      </c>
      <c r="Q67">
        <v>185</v>
      </c>
      <c r="R67">
        <v>3</v>
      </c>
    </row>
    <row r="68" spans="1:18" x14ac:dyDescent="0.35">
      <c r="A68">
        <v>45529316</v>
      </c>
      <c r="B68" t="s">
        <v>133</v>
      </c>
      <c r="C68">
        <v>47625981</v>
      </c>
      <c r="D68">
        <v>1.46270726328816E+18</v>
      </c>
      <c r="E68" t="s">
        <v>132</v>
      </c>
      <c r="G68" t="s">
        <v>28</v>
      </c>
      <c r="H68">
        <v>42.648209999999999</v>
      </c>
      <c r="I68">
        <v>-73.757930000000002</v>
      </c>
      <c r="J68" t="s">
        <v>22</v>
      </c>
      <c r="K68">
        <v>217</v>
      </c>
      <c r="L68">
        <v>1</v>
      </c>
      <c r="M68">
        <v>132</v>
      </c>
      <c r="N68" s="1">
        <v>46079</v>
      </c>
      <c r="O68">
        <v>2.0099999999999998</v>
      </c>
      <c r="P68">
        <v>16</v>
      </c>
      <c r="Q68">
        <v>330</v>
      </c>
      <c r="R68">
        <v>9</v>
      </c>
    </row>
    <row r="69" spans="1:18" x14ac:dyDescent="0.35">
      <c r="A69">
        <v>45529447</v>
      </c>
      <c r="B69" t="s">
        <v>134</v>
      </c>
      <c r="C69">
        <v>47625981</v>
      </c>
      <c r="D69">
        <v>1.46270726328816E+18</v>
      </c>
      <c r="E69" t="s">
        <v>132</v>
      </c>
      <c r="G69" t="s">
        <v>28</v>
      </c>
      <c r="H69">
        <v>42.647129999999997</v>
      </c>
      <c r="I69">
        <v>-73.756280000000004</v>
      </c>
      <c r="J69" t="s">
        <v>22</v>
      </c>
      <c r="K69">
        <v>234</v>
      </c>
      <c r="L69">
        <v>1</v>
      </c>
      <c r="M69">
        <v>155</v>
      </c>
      <c r="N69" s="1">
        <v>46150</v>
      </c>
      <c r="O69">
        <v>2.37</v>
      </c>
      <c r="P69">
        <v>16</v>
      </c>
      <c r="Q69">
        <v>183</v>
      </c>
      <c r="R69">
        <v>9</v>
      </c>
    </row>
    <row r="70" spans="1:18" x14ac:dyDescent="0.35">
      <c r="A70">
        <v>46894493</v>
      </c>
      <c r="B70" t="s">
        <v>135</v>
      </c>
      <c r="C70">
        <v>69789449</v>
      </c>
      <c r="D70">
        <v>1.4668638490293499E+18</v>
      </c>
      <c r="E70" t="s">
        <v>136</v>
      </c>
      <c r="G70" t="s">
        <v>51</v>
      </c>
      <c r="H70">
        <v>42.653109999999998</v>
      </c>
      <c r="I70">
        <v>-73.785250000000005</v>
      </c>
      <c r="J70" t="s">
        <v>22</v>
      </c>
      <c r="K70">
        <v>331</v>
      </c>
      <c r="L70">
        <v>1</v>
      </c>
      <c r="M70">
        <v>280</v>
      </c>
      <c r="N70" s="1">
        <v>46159</v>
      </c>
      <c r="O70">
        <v>4.29</v>
      </c>
      <c r="P70">
        <v>1</v>
      </c>
      <c r="Q70">
        <v>234</v>
      </c>
      <c r="R70">
        <v>22</v>
      </c>
    </row>
    <row r="71" spans="1:18" x14ac:dyDescent="0.35">
      <c r="A71">
        <v>47334913</v>
      </c>
      <c r="B71" t="s">
        <v>137</v>
      </c>
      <c r="C71">
        <v>152762198</v>
      </c>
      <c r="D71">
        <v>1.4684980323377999E+18</v>
      </c>
      <c r="E71" t="s">
        <v>72</v>
      </c>
      <c r="G71" t="s">
        <v>68</v>
      </c>
      <c r="H71">
        <v>42.666460000000001</v>
      </c>
      <c r="I71">
        <v>-73.791839999999993</v>
      </c>
      <c r="J71" t="s">
        <v>22</v>
      </c>
      <c r="K71">
        <v>134</v>
      </c>
      <c r="L71">
        <v>3</v>
      </c>
      <c r="M71">
        <v>121</v>
      </c>
      <c r="N71" s="1">
        <v>46163</v>
      </c>
      <c r="O71">
        <v>1.85</v>
      </c>
      <c r="P71">
        <v>9</v>
      </c>
      <c r="Q71">
        <v>243</v>
      </c>
      <c r="R71">
        <v>25</v>
      </c>
    </row>
    <row r="72" spans="1:18" x14ac:dyDescent="0.35">
      <c r="A72">
        <v>47345872</v>
      </c>
      <c r="B72" t="s">
        <v>138</v>
      </c>
      <c r="C72">
        <v>19648678</v>
      </c>
      <c r="D72">
        <v>1.4630870240167099E+18</v>
      </c>
      <c r="E72" t="s">
        <v>24</v>
      </c>
      <c r="G72" t="s">
        <v>25</v>
      </c>
      <c r="H72">
        <v>42.653449999999999</v>
      </c>
      <c r="I72">
        <v>-73.766630000000006</v>
      </c>
      <c r="J72" t="s">
        <v>22</v>
      </c>
      <c r="K72">
        <v>180</v>
      </c>
      <c r="L72">
        <v>1</v>
      </c>
      <c r="M72">
        <v>116</v>
      </c>
      <c r="N72" s="1">
        <v>46178</v>
      </c>
      <c r="O72">
        <v>1.78</v>
      </c>
      <c r="P72">
        <v>7</v>
      </c>
      <c r="Q72">
        <v>335</v>
      </c>
      <c r="R72">
        <v>51</v>
      </c>
    </row>
    <row r="73" spans="1:18" x14ac:dyDescent="0.35">
      <c r="A73">
        <v>47408047</v>
      </c>
      <c r="B73" t="s">
        <v>139</v>
      </c>
      <c r="C73">
        <v>152762198</v>
      </c>
      <c r="D73">
        <v>1.4684980323377999E+18</v>
      </c>
      <c r="E73" t="s">
        <v>72</v>
      </c>
      <c r="G73" t="s">
        <v>34</v>
      </c>
      <c r="H73">
        <v>42.671559999999999</v>
      </c>
      <c r="I73">
        <v>-73.80883</v>
      </c>
      <c r="J73" t="s">
        <v>22</v>
      </c>
      <c r="K73">
        <v>122</v>
      </c>
      <c r="L73">
        <v>3</v>
      </c>
      <c r="M73">
        <v>85</v>
      </c>
      <c r="N73" s="1">
        <v>46166</v>
      </c>
      <c r="O73">
        <v>1.31</v>
      </c>
      <c r="P73">
        <v>9</v>
      </c>
      <c r="Q73">
        <v>335</v>
      </c>
      <c r="R73">
        <v>14</v>
      </c>
    </row>
    <row r="74" spans="1:18" x14ac:dyDescent="0.35">
      <c r="A74">
        <v>47440071</v>
      </c>
      <c r="B74" t="s">
        <v>140</v>
      </c>
      <c r="C74">
        <v>382970529</v>
      </c>
      <c r="D74">
        <v>1.4635744483223401E+18</v>
      </c>
      <c r="E74" t="s">
        <v>141</v>
      </c>
      <c r="G74" t="s">
        <v>68</v>
      </c>
      <c r="H74">
        <v>42.669199999999996</v>
      </c>
      <c r="I74">
        <v>-73.798490000000001</v>
      </c>
      <c r="J74" t="s">
        <v>31</v>
      </c>
      <c r="K74">
        <v>150</v>
      </c>
      <c r="L74">
        <v>1</v>
      </c>
      <c r="M74">
        <v>216</v>
      </c>
      <c r="N74" s="1">
        <v>46156</v>
      </c>
      <c r="O74">
        <v>3.27</v>
      </c>
      <c r="P74">
        <v>12</v>
      </c>
      <c r="Q74">
        <v>2</v>
      </c>
      <c r="R74">
        <v>43</v>
      </c>
    </row>
    <row r="75" spans="1:18" x14ac:dyDescent="0.35">
      <c r="A75">
        <v>47828453</v>
      </c>
      <c r="B75" t="s">
        <v>142</v>
      </c>
      <c r="C75">
        <v>299638115</v>
      </c>
      <c r="D75">
        <v>1.4695394838626199E+18</v>
      </c>
      <c r="E75" t="s">
        <v>105</v>
      </c>
      <c r="G75" t="s">
        <v>21</v>
      </c>
      <c r="H75">
        <v>42.655999999999999</v>
      </c>
      <c r="I75">
        <v>-73.761229999999998</v>
      </c>
      <c r="J75" t="s">
        <v>22</v>
      </c>
      <c r="K75">
        <v>198</v>
      </c>
      <c r="L75">
        <v>1</v>
      </c>
      <c r="M75">
        <v>29</v>
      </c>
      <c r="N75" s="1">
        <v>46079</v>
      </c>
      <c r="O75">
        <v>0.44</v>
      </c>
      <c r="P75">
        <v>4</v>
      </c>
      <c r="Q75">
        <v>205</v>
      </c>
      <c r="R75">
        <v>8</v>
      </c>
    </row>
    <row r="76" spans="1:18" x14ac:dyDescent="0.35">
      <c r="A76">
        <v>47943571</v>
      </c>
      <c r="B76" t="s">
        <v>143</v>
      </c>
      <c r="C76">
        <v>385664127</v>
      </c>
      <c r="D76">
        <v>1.46979275191694E+18</v>
      </c>
      <c r="E76" t="s">
        <v>144</v>
      </c>
      <c r="G76" t="s">
        <v>21</v>
      </c>
      <c r="H76">
        <v>42.651179999999997</v>
      </c>
      <c r="I76">
        <v>-73.752740000000003</v>
      </c>
      <c r="J76" t="s">
        <v>22</v>
      </c>
      <c r="K76">
        <v>218</v>
      </c>
      <c r="L76">
        <v>1</v>
      </c>
      <c r="M76">
        <v>190</v>
      </c>
      <c r="N76" s="1">
        <v>46155</v>
      </c>
      <c r="O76">
        <v>2.92</v>
      </c>
      <c r="P76">
        <v>2</v>
      </c>
      <c r="Q76">
        <v>248</v>
      </c>
      <c r="R76">
        <v>20</v>
      </c>
    </row>
    <row r="77" spans="1:18" x14ac:dyDescent="0.35">
      <c r="A77">
        <v>48052353</v>
      </c>
      <c r="B77" t="s">
        <v>145</v>
      </c>
      <c r="C77">
        <v>349460842</v>
      </c>
      <c r="D77">
        <v>1.4696952540817001E+18</v>
      </c>
      <c r="E77" t="s">
        <v>122</v>
      </c>
      <c r="G77" t="s">
        <v>47</v>
      </c>
      <c r="H77">
        <v>42.662610000000001</v>
      </c>
      <c r="I77">
        <v>-73.783320000000003</v>
      </c>
      <c r="J77" t="s">
        <v>22</v>
      </c>
      <c r="K77">
        <v>265</v>
      </c>
      <c r="L77">
        <v>1</v>
      </c>
      <c r="M77">
        <v>175</v>
      </c>
      <c r="N77" s="1">
        <v>46158</v>
      </c>
      <c r="O77">
        <v>2.69</v>
      </c>
      <c r="P77">
        <v>21</v>
      </c>
      <c r="Q77">
        <v>331</v>
      </c>
      <c r="R77">
        <v>8</v>
      </c>
    </row>
    <row r="78" spans="1:18" x14ac:dyDescent="0.35">
      <c r="A78">
        <v>48124042</v>
      </c>
      <c r="B78" t="s">
        <v>146</v>
      </c>
      <c r="C78">
        <v>385664127</v>
      </c>
      <c r="D78">
        <v>1.46979275191694E+18</v>
      </c>
      <c r="E78" t="s">
        <v>144</v>
      </c>
      <c r="G78" t="s">
        <v>21</v>
      </c>
      <c r="H78">
        <v>42.649819999999998</v>
      </c>
      <c r="I78">
        <v>-73.750900000000001</v>
      </c>
      <c r="J78" t="s">
        <v>22</v>
      </c>
      <c r="K78">
        <v>276</v>
      </c>
      <c r="L78">
        <v>1</v>
      </c>
      <c r="M78">
        <v>257</v>
      </c>
      <c r="N78" s="1">
        <v>46163</v>
      </c>
      <c r="O78">
        <v>4.3499999999999996</v>
      </c>
      <c r="P78">
        <v>2</v>
      </c>
      <c r="Q78">
        <v>162</v>
      </c>
      <c r="R78">
        <v>26</v>
      </c>
    </row>
    <row r="79" spans="1:18" x14ac:dyDescent="0.35">
      <c r="A79">
        <v>48172884</v>
      </c>
      <c r="B79" t="s">
        <v>147</v>
      </c>
      <c r="C79">
        <v>98744672</v>
      </c>
      <c r="D79">
        <v>1.4628674422792599E+18</v>
      </c>
      <c r="E79" t="s">
        <v>66</v>
      </c>
      <c r="G79" t="s">
        <v>51</v>
      </c>
      <c r="H79">
        <v>42.65399</v>
      </c>
      <c r="I79">
        <v>-73.781260000000003</v>
      </c>
      <c r="J79" t="s">
        <v>31</v>
      </c>
      <c r="K79">
        <v>86</v>
      </c>
      <c r="L79">
        <v>2</v>
      </c>
      <c r="M79">
        <v>92</v>
      </c>
      <c r="N79" s="1">
        <v>46179</v>
      </c>
      <c r="O79">
        <v>1.43</v>
      </c>
      <c r="P79">
        <v>8</v>
      </c>
      <c r="Q79">
        <v>265</v>
      </c>
      <c r="R79">
        <v>14</v>
      </c>
    </row>
    <row r="80" spans="1:18" x14ac:dyDescent="0.35">
      <c r="A80">
        <v>48470454</v>
      </c>
      <c r="B80" t="s">
        <v>148</v>
      </c>
      <c r="C80">
        <v>4259750</v>
      </c>
      <c r="D80">
        <v>1.4625345292948301E+18</v>
      </c>
      <c r="E80" t="s">
        <v>36</v>
      </c>
      <c r="G80" t="s">
        <v>68</v>
      </c>
      <c r="H80">
        <v>42.665264129638601</v>
      </c>
      <c r="I80">
        <v>-73.786926269531193</v>
      </c>
      <c r="J80" t="s">
        <v>22</v>
      </c>
      <c r="K80">
        <v>1041</v>
      </c>
      <c r="L80">
        <v>1</v>
      </c>
      <c r="M80">
        <v>67</v>
      </c>
      <c r="N80" s="1">
        <v>46166</v>
      </c>
      <c r="O80">
        <v>1.41</v>
      </c>
      <c r="P80">
        <v>8</v>
      </c>
      <c r="Q80">
        <v>339</v>
      </c>
      <c r="R80">
        <v>22</v>
      </c>
    </row>
    <row r="81" spans="1:18" x14ac:dyDescent="0.35">
      <c r="A81">
        <v>48599533</v>
      </c>
      <c r="B81" t="s">
        <v>149</v>
      </c>
      <c r="C81">
        <v>392074908</v>
      </c>
      <c r="D81">
        <v>1.4635956151595699E+18</v>
      </c>
      <c r="E81" t="s">
        <v>150</v>
      </c>
      <c r="G81" t="s">
        <v>25</v>
      </c>
      <c r="H81">
        <v>42.654290000000003</v>
      </c>
      <c r="I81">
        <v>-73.759860000000003</v>
      </c>
      <c r="J81" t="s">
        <v>22</v>
      </c>
      <c r="K81">
        <v>149</v>
      </c>
      <c r="L81">
        <v>2</v>
      </c>
      <c r="M81">
        <v>109</v>
      </c>
      <c r="N81" s="1">
        <v>46160</v>
      </c>
      <c r="O81">
        <v>1.85</v>
      </c>
      <c r="P81">
        <v>3</v>
      </c>
      <c r="Q81">
        <v>146</v>
      </c>
      <c r="R81">
        <v>6</v>
      </c>
    </row>
    <row r="82" spans="1:18" x14ac:dyDescent="0.35">
      <c r="A82">
        <v>50171851</v>
      </c>
      <c r="B82" t="s">
        <v>151</v>
      </c>
      <c r="C82">
        <v>48490017</v>
      </c>
      <c r="D82">
        <v>1.46573465056914E+18</v>
      </c>
      <c r="E82" t="s">
        <v>152</v>
      </c>
      <c r="G82" t="s">
        <v>25</v>
      </c>
      <c r="H82">
        <v>42.65157</v>
      </c>
      <c r="I82">
        <v>-73.765460000000004</v>
      </c>
      <c r="J82" t="s">
        <v>22</v>
      </c>
      <c r="K82">
        <v>127</v>
      </c>
      <c r="L82">
        <v>2</v>
      </c>
      <c r="M82">
        <v>221</v>
      </c>
      <c r="N82" s="1">
        <v>46153</v>
      </c>
      <c r="O82">
        <v>3.75</v>
      </c>
      <c r="P82">
        <v>1</v>
      </c>
      <c r="Q82">
        <v>88</v>
      </c>
      <c r="R82">
        <v>30</v>
      </c>
    </row>
    <row r="83" spans="1:18" x14ac:dyDescent="0.35">
      <c r="A83">
        <v>50207226</v>
      </c>
      <c r="B83" t="s">
        <v>153</v>
      </c>
      <c r="C83">
        <v>47625981</v>
      </c>
      <c r="D83">
        <v>1.46270726328816E+18</v>
      </c>
      <c r="E83" t="s">
        <v>132</v>
      </c>
      <c r="G83" t="s">
        <v>91</v>
      </c>
      <c r="H83">
        <v>42.658880000000003</v>
      </c>
      <c r="I83">
        <v>-73.746729999999999</v>
      </c>
      <c r="J83" t="s">
        <v>22</v>
      </c>
      <c r="K83">
        <v>215</v>
      </c>
      <c r="L83">
        <v>1</v>
      </c>
      <c r="M83">
        <v>105</v>
      </c>
      <c r="N83" s="1">
        <v>46151</v>
      </c>
      <c r="O83">
        <v>1.72</v>
      </c>
      <c r="P83">
        <v>16</v>
      </c>
      <c r="Q83">
        <v>185</v>
      </c>
      <c r="R83">
        <v>16</v>
      </c>
    </row>
    <row r="84" spans="1:18" x14ac:dyDescent="0.35">
      <c r="A84">
        <v>50211226</v>
      </c>
      <c r="B84" t="s">
        <v>154</v>
      </c>
      <c r="C84">
        <v>105597161</v>
      </c>
      <c r="D84">
        <v>1.46727589908191E+18</v>
      </c>
      <c r="E84" t="s">
        <v>155</v>
      </c>
      <c r="G84" t="s">
        <v>40</v>
      </c>
      <c r="H84">
        <v>42.660339999999998</v>
      </c>
      <c r="I84">
        <v>-73.771630000000002</v>
      </c>
      <c r="J84" t="s">
        <v>22</v>
      </c>
      <c r="K84">
        <v>189</v>
      </c>
      <c r="L84">
        <v>2</v>
      </c>
      <c r="M84">
        <v>201</v>
      </c>
      <c r="N84" s="1">
        <v>46161</v>
      </c>
      <c r="O84">
        <v>3.7</v>
      </c>
      <c r="P84">
        <v>1</v>
      </c>
      <c r="Q84">
        <v>318</v>
      </c>
      <c r="R84">
        <v>16</v>
      </c>
    </row>
    <row r="85" spans="1:18" x14ac:dyDescent="0.35">
      <c r="A85">
        <v>50354540</v>
      </c>
      <c r="B85" t="s">
        <v>156</v>
      </c>
      <c r="C85">
        <v>188679144</v>
      </c>
      <c r="D85">
        <v>1.46897784365329E+18</v>
      </c>
      <c r="E85" t="s">
        <v>33</v>
      </c>
      <c r="G85" t="s">
        <v>25</v>
      </c>
      <c r="H85">
        <v>42.653329999999997</v>
      </c>
      <c r="I85">
        <v>-73.764020000000002</v>
      </c>
      <c r="J85" t="s">
        <v>22</v>
      </c>
      <c r="K85">
        <v>207</v>
      </c>
      <c r="L85">
        <v>3</v>
      </c>
      <c r="M85">
        <v>20</v>
      </c>
      <c r="N85" s="1">
        <v>45935</v>
      </c>
      <c r="O85">
        <v>0.33</v>
      </c>
      <c r="P85">
        <v>11</v>
      </c>
      <c r="Q85">
        <v>362</v>
      </c>
      <c r="R85">
        <v>4</v>
      </c>
    </row>
    <row r="86" spans="1:18" x14ac:dyDescent="0.35">
      <c r="A86">
        <v>50639032</v>
      </c>
      <c r="B86" t="s">
        <v>157</v>
      </c>
      <c r="C86">
        <v>172539578</v>
      </c>
      <c r="D86">
        <v>1.46867478051998E+18</v>
      </c>
      <c r="E86" t="s">
        <v>158</v>
      </c>
      <c r="G86" t="s">
        <v>37</v>
      </c>
      <c r="H86">
        <v>42.679450000000003</v>
      </c>
      <c r="I86">
        <v>-73.816469999999995</v>
      </c>
      <c r="J86" t="s">
        <v>31</v>
      </c>
      <c r="K86">
        <v>96</v>
      </c>
      <c r="L86">
        <v>3</v>
      </c>
      <c r="M86">
        <v>46</v>
      </c>
      <c r="N86" s="1">
        <v>45879</v>
      </c>
      <c r="O86">
        <v>0.8</v>
      </c>
      <c r="P86">
        <v>1</v>
      </c>
      <c r="Q86">
        <v>119</v>
      </c>
      <c r="R86">
        <v>1</v>
      </c>
    </row>
    <row r="87" spans="1:18" x14ac:dyDescent="0.35">
      <c r="A87">
        <v>50890336</v>
      </c>
      <c r="B87" t="s">
        <v>159</v>
      </c>
      <c r="C87">
        <v>47625981</v>
      </c>
      <c r="D87">
        <v>1.46270726328816E+18</v>
      </c>
      <c r="E87" t="s">
        <v>132</v>
      </c>
      <c r="G87" t="s">
        <v>91</v>
      </c>
      <c r="H87">
        <v>42.659010000000002</v>
      </c>
      <c r="I87">
        <v>-73.747479999999996</v>
      </c>
      <c r="J87" t="s">
        <v>22</v>
      </c>
      <c r="K87">
        <v>217</v>
      </c>
      <c r="L87">
        <v>1</v>
      </c>
      <c r="M87">
        <v>47</v>
      </c>
      <c r="N87" s="1">
        <v>46041</v>
      </c>
      <c r="O87">
        <v>0.79</v>
      </c>
      <c r="P87">
        <v>16</v>
      </c>
      <c r="Q87">
        <v>194</v>
      </c>
      <c r="R87">
        <v>2</v>
      </c>
    </row>
    <row r="88" spans="1:18" x14ac:dyDescent="0.35">
      <c r="A88">
        <v>51230498</v>
      </c>
      <c r="B88" t="s">
        <v>160</v>
      </c>
      <c r="C88">
        <v>414738935</v>
      </c>
      <c r="D88">
        <v>1.46988743614736E+18</v>
      </c>
      <c r="E88" t="s">
        <v>161</v>
      </c>
      <c r="G88" t="s">
        <v>21</v>
      </c>
      <c r="H88">
        <v>42.660640000000001</v>
      </c>
      <c r="I88">
        <v>-73.760739999999998</v>
      </c>
      <c r="J88" t="s">
        <v>22</v>
      </c>
      <c r="K88">
        <v>112</v>
      </c>
      <c r="L88">
        <v>1</v>
      </c>
      <c r="M88">
        <v>278</v>
      </c>
      <c r="N88" s="1">
        <v>45974</v>
      </c>
      <c r="O88">
        <v>4.6500000000000004</v>
      </c>
      <c r="P88">
        <v>1</v>
      </c>
      <c r="Q88">
        <v>125</v>
      </c>
      <c r="R88">
        <v>23</v>
      </c>
    </row>
    <row r="89" spans="1:18" x14ac:dyDescent="0.35">
      <c r="A89">
        <v>51461480</v>
      </c>
      <c r="B89" t="s">
        <v>162</v>
      </c>
      <c r="C89">
        <v>416799784</v>
      </c>
      <c r="D89">
        <v>1.4698949452709701E+18</v>
      </c>
      <c r="E89" t="s">
        <v>163</v>
      </c>
      <c r="G89" t="s">
        <v>47</v>
      </c>
      <c r="H89">
        <v>42.659689999999998</v>
      </c>
      <c r="I89">
        <v>-73.775639999999996</v>
      </c>
      <c r="J89" t="s">
        <v>22</v>
      </c>
      <c r="K89">
        <v>126</v>
      </c>
      <c r="L89">
        <v>1</v>
      </c>
      <c r="M89">
        <v>32</v>
      </c>
      <c r="N89" s="1">
        <v>46112</v>
      </c>
      <c r="O89">
        <v>0.56999999999999995</v>
      </c>
      <c r="P89">
        <v>1</v>
      </c>
      <c r="Q89">
        <v>146</v>
      </c>
      <c r="R89">
        <v>3</v>
      </c>
    </row>
    <row r="90" spans="1:18" x14ac:dyDescent="0.35">
      <c r="A90">
        <v>51579900</v>
      </c>
      <c r="B90" t="s">
        <v>164</v>
      </c>
      <c r="C90">
        <v>47625981</v>
      </c>
      <c r="D90">
        <v>1.46270726328816E+18</v>
      </c>
      <c r="E90" t="s">
        <v>132</v>
      </c>
      <c r="G90" t="s">
        <v>91</v>
      </c>
      <c r="H90">
        <v>42.658560000000001</v>
      </c>
      <c r="I90">
        <v>-73.748660000000001</v>
      </c>
      <c r="J90" t="s">
        <v>22</v>
      </c>
      <c r="K90">
        <v>166</v>
      </c>
      <c r="L90">
        <v>1</v>
      </c>
      <c r="M90">
        <v>89</v>
      </c>
      <c r="N90" s="1">
        <v>46159</v>
      </c>
      <c r="O90">
        <v>1.51</v>
      </c>
      <c r="P90">
        <v>16</v>
      </c>
      <c r="Q90">
        <v>131</v>
      </c>
      <c r="R90">
        <v>10</v>
      </c>
    </row>
    <row r="91" spans="1:18" x14ac:dyDescent="0.35">
      <c r="A91">
        <v>51592836</v>
      </c>
      <c r="B91" t="s">
        <v>165</v>
      </c>
      <c r="C91">
        <v>60293220</v>
      </c>
      <c r="D91">
        <v>1.4667412397954501E+18</v>
      </c>
      <c r="E91" t="s">
        <v>166</v>
      </c>
      <c r="G91" t="s">
        <v>21</v>
      </c>
      <c r="H91">
        <v>42.658439999999999</v>
      </c>
      <c r="I91">
        <v>-73.749780000000001</v>
      </c>
      <c r="J91" t="s">
        <v>22</v>
      </c>
      <c r="K91">
        <v>162</v>
      </c>
      <c r="L91">
        <v>2</v>
      </c>
      <c r="M91">
        <v>98</v>
      </c>
      <c r="N91" s="1">
        <v>46159</v>
      </c>
      <c r="O91">
        <v>1.72</v>
      </c>
      <c r="P91">
        <v>3</v>
      </c>
      <c r="Q91">
        <v>360</v>
      </c>
      <c r="R91">
        <v>8</v>
      </c>
    </row>
    <row r="92" spans="1:18" x14ac:dyDescent="0.35">
      <c r="A92">
        <v>52152157</v>
      </c>
      <c r="B92" t="s">
        <v>167</v>
      </c>
      <c r="C92">
        <v>152762198</v>
      </c>
      <c r="D92">
        <v>1.4684980323377999E+18</v>
      </c>
      <c r="E92" t="s">
        <v>72</v>
      </c>
      <c r="G92" t="s">
        <v>117</v>
      </c>
      <c r="H92">
        <v>42.630659999999999</v>
      </c>
      <c r="I92">
        <v>-73.773570000000007</v>
      </c>
      <c r="J92" t="s">
        <v>22</v>
      </c>
      <c r="K92">
        <v>196</v>
      </c>
      <c r="L92">
        <v>3</v>
      </c>
      <c r="M92">
        <v>93</v>
      </c>
      <c r="N92" s="1">
        <v>46168</v>
      </c>
      <c r="O92">
        <v>1.62</v>
      </c>
      <c r="P92">
        <v>9</v>
      </c>
      <c r="Q92">
        <v>135</v>
      </c>
      <c r="R92">
        <v>20</v>
      </c>
    </row>
    <row r="93" spans="1:18" x14ac:dyDescent="0.35">
      <c r="A93">
        <v>52241973</v>
      </c>
      <c r="B93" t="s">
        <v>168</v>
      </c>
      <c r="C93">
        <v>35465673</v>
      </c>
      <c r="D93">
        <v>1.46552402541775E+18</v>
      </c>
      <c r="E93" t="s">
        <v>169</v>
      </c>
      <c r="G93" t="s">
        <v>25</v>
      </c>
      <c r="H93">
        <v>42.656410000000001</v>
      </c>
      <c r="I93">
        <v>-73.764129999999994</v>
      </c>
      <c r="J93" t="s">
        <v>22</v>
      </c>
      <c r="K93">
        <v>118</v>
      </c>
      <c r="L93">
        <v>1</v>
      </c>
      <c r="M93">
        <v>401</v>
      </c>
      <c r="N93" s="1">
        <v>46173</v>
      </c>
      <c r="O93">
        <v>7.06</v>
      </c>
      <c r="P93">
        <v>1</v>
      </c>
      <c r="Q93">
        <v>59</v>
      </c>
      <c r="R93">
        <v>75</v>
      </c>
    </row>
    <row r="94" spans="1:18" x14ac:dyDescent="0.35">
      <c r="A94">
        <v>52360097</v>
      </c>
      <c r="B94" t="s">
        <v>170</v>
      </c>
      <c r="C94">
        <v>392074908</v>
      </c>
      <c r="D94">
        <v>1.4635956151595699E+18</v>
      </c>
      <c r="E94" t="s">
        <v>150</v>
      </c>
      <c r="G94" t="s">
        <v>25</v>
      </c>
      <c r="H94">
        <v>42.653860000000002</v>
      </c>
      <c r="I94">
        <v>-73.75958</v>
      </c>
      <c r="J94" t="s">
        <v>22</v>
      </c>
      <c r="K94">
        <v>149</v>
      </c>
      <c r="L94">
        <v>2</v>
      </c>
      <c r="M94">
        <v>81</v>
      </c>
      <c r="N94" s="1">
        <v>46158</v>
      </c>
      <c r="O94">
        <v>1.41</v>
      </c>
      <c r="P94">
        <v>3</v>
      </c>
      <c r="Q94">
        <v>353</v>
      </c>
      <c r="R94">
        <v>5</v>
      </c>
    </row>
    <row r="95" spans="1:18" x14ac:dyDescent="0.35">
      <c r="A95">
        <v>52611613</v>
      </c>
      <c r="B95" t="s">
        <v>171</v>
      </c>
      <c r="C95">
        <v>232967878</v>
      </c>
      <c r="D95">
        <v>1.4688023724058199E+18</v>
      </c>
      <c r="E95" t="s">
        <v>95</v>
      </c>
      <c r="G95" t="s">
        <v>51</v>
      </c>
      <c r="H95">
        <v>42.656739999999999</v>
      </c>
      <c r="I95">
        <v>-73.792209999999997</v>
      </c>
      <c r="J95" t="s">
        <v>22</v>
      </c>
      <c r="K95">
        <v>268</v>
      </c>
      <c r="L95">
        <v>2</v>
      </c>
      <c r="M95">
        <v>158</v>
      </c>
      <c r="N95" s="1">
        <v>46159</v>
      </c>
      <c r="O95">
        <v>2.78</v>
      </c>
      <c r="P95">
        <v>14</v>
      </c>
      <c r="Q95">
        <v>243</v>
      </c>
      <c r="R95">
        <v>20</v>
      </c>
    </row>
    <row r="96" spans="1:18" x14ac:dyDescent="0.35">
      <c r="A96">
        <v>52691284</v>
      </c>
      <c r="B96" t="s">
        <v>172</v>
      </c>
      <c r="C96">
        <v>232967878</v>
      </c>
      <c r="D96">
        <v>1.4688023724058199E+18</v>
      </c>
      <c r="E96" t="s">
        <v>95</v>
      </c>
      <c r="G96" t="s">
        <v>47</v>
      </c>
      <c r="H96">
        <v>42.66236</v>
      </c>
      <c r="I96">
        <v>-73.792450000000002</v>
      </c>
      <c r="J96" t="s">
        <v>22</v>
      </c>
      <c r="K96">
        <v>819</v>
      </c>
      <c r="L96">
        <v>1</v>
      </c>
      <c r="M96">
        <v>113</v>
      </c>
      <c r="N96" s="1">
        <v>46173</v>
      </c>
      <c r="O96">
        <v>1.99</v>
      </c>
      <c r="P96">
        <v>14</v>
      </c>
      <c r="Q96">
        <v>236</v>
      </c>
      <c r="R96">
        <v>23</v>
      </c>
    </row>
    <row r="97" spans="1:18" x14ac:dyDescent="0.35">
      <c r="A97">
        <v>52837196</v>
      </c>
      <c r="B97" t="s">
        <v>173</v>
      </c>
      <c r="C97">
        <v>47625981</v>
      </c>
      <c r="D97">
        <v>1.46270726328816E+18</v>
      </c>
      <c r="E97" t="s">
        <v>132</v>
      </c>
      <c r="G97" t="s">
        <v>91</v>
      </c>
      <c r="H97">
        <v>42.658119999999997</v>
      </c>
      <c r="I97">
        <v>-73.748369999999994</v>
      </c>
      <c r="J97" t="s">
        <v>22</v>
      </c>
      <c r="K97">
        <v>217</v>
      </c>
      <c r="L97">
        <v>1</v>
      </c>
      <c r="M97">
        <v>88</v>
      </c>
      <c r="N97" s="1">
        <v>45950</v>
      </c>
      <c r="O97">
        <v>1.56</v>
      </c>
      <c r="P97">
        <v>16</v>
      </c>
      <c r="Q97">
        <v>196</v>
      </c>
      <c r="R97">
        <v>12</v>
      </c>
    </row>
    <row r="98" spans="1:18" x14ac:dyDescent="0.35">
      <c r="A98">
        <v>52863776</v>
      </c>
      <c r="B98" t="s">
        <v>174</v>
      </c>
      <c r="C98">
        <v>355777684</v>
      </c>
      <c r="D98">
        <v>1.46351675768097E+18</v>
      </c>
      <c r="E98" t="s">
        <v>111</v>
      </c>
      <c r="G98" t="s">
        <v>25</v>
      </c>
      <c r="H98">
        <v>42.658259999999999</v>
      </c>
      <c r="I98">
        <v>-73.769440000000003</v>
      </c>
      <c r="J98" t="s">
        <v>22</v>
      </c>
      <c r="K98">
        <v>154</v>
      </c>
      <c r="L98">
        <v>1</v>
      </c>
      <c r="M98">
        <v>283</v>
      </c>
      <c r="N98" s="1">
        <v>46186</v>
      </c>
      <c r="O98">
        <v>5.01</v>
      </c>
      <c r="P98">
        <v>3</v>
      </c>
      <c r="Q98">
        <v>327</v>
      </c>
      <c r="R98">
        <v>75</v>
      </c>
    </row>
    <row r="99" spans="1:18" x14ac:dyDescent="0.35">
      <c r="A99">
        <v>53483727</v>
      </c>
      <c r="B99" t="s">
        <v>175</v>
      </c>
      <c r="C99">
        <v>433096110</v>
      </c>
      <c r="D99">
        <v>1.4699604510154099E+18</v>
      </c>
      <c r="E99" t="s">
        <v>176</v>
      </c>
      <c r="G99" t="s">
        <v>34</v>
      </c>
      <c r="H99">
        <v>42.658239999999999</v>
      </c>
      <c r="I99">
        <v>-73.801140000000004</v>
      </c>
      <c r="J99" t="s">
        <v>22</v>
      </c>
      <c r="K99">
        <v>315</v>
      </c>
      <c r="L99">
        <v>1</v>
      </c>
      <c r="M99">
        <v>188</v>
      </c>
      <c r="N99" s="1">
        <v>46187</v>
      </c>
      <c r="O99">
        <v>3.47</v>
      </c>
      <c r="P99">
        <v>4</v>
      </c>
      <c r="Q99">
        <v>230</v>
      </c>
      <c r="R99">
        <v>30</v>
      </c>
    </row>
    <row r="100" spans="1:18" x14ac:dyDescent="0.35">
      <c r="A100">
        <v>53567589</v>
      </c>
      <c r="B100" t="s">
        <v>177</v>
      </c>
      <c r="C100">
        <v>433096110</v>
      </c>
      <c r="D100">
        <v>1.4699604510154099E+18</v>
      </c>
      <c r="E100" t="s">
        <v>176</v>
      </c>
      <c r="G100" t="s">
        <v>25</v>
      </c>
      <c r="H100">
        <v>42.65204</v>
      </c>
      <c r="I100">
        <v>-73.766549999999995</v>
      </c>
      <c r="J100" t="s">
        <v>22</v>
      </c>
      <c r="K100">
        <v>177</v>
      </c>
      <c r="L100">
        <v>1</v>
      </c>
      <c r="M100">
        <v>308</v>
      </c>
      <c r="N100" s="1">
        <v>46180</v>
      </c>
      <c r="O100">
        <v>5.61</v>
      </c>
      <c r="P100">
        <v>4</v>
      </c>
      <c r="Q100">
        <v>89</v>
      </c>
      <c r="R100">
        <v>39</v>
      </c>
    </row>
    <row r="101" spans="1:18" x14ac:dyDescent="0.35">
      <c r="A101">
        <v>53645427</v>
      </c>
      <c r="B101" t="s">
        <v>178</v>
      </c>
      <c r="C101">
        <v>47625981</v>
      </c>
      <c r="D101">
        <v>1.46270726328816E+18</v>
      </c>
      <c r="E101" t="s">
        <v>132</v>
      </c>
      <c r="G101" t="s">
        <v>91</v>
      </c>
      <c r="H101">
        <v>42.659129999999998</v>
      </c>
      <c r="I101">
        <v>-73.747219999999999</v>
      </c>
      <c r="J101" t="s">
        <v>22</v>
      </c>
      <c r="K101">
        <v>269</v>
      </c>
      <c r="L101">
        <v>1</v>
      </c>
      <c r="M101">
        <v>144</v>
      </c>
      <c r="N101" s="1">
        <v>46166</v>
      </c>
      <c r="O101">
        <v>2.62</v>
      </c>
      <c r="P101">
        <v>16</v>
      </c>
      <c r="Q101">
        <v>178</v>
      </c>
      <c r="R101">
        <v>24</v>
      </c>
    </row>
    <row r="102" spans="1:18" x14ac:dyDescent="0.35">
      <c r="A102">
        <v>53860077</v>
      </c>
      <c r="B102" t="s">
        <v>179</v>
      </c>
      <c r="C102">
        <v>4259750</v>
      </c>
      <c r="D102">
        <v>1.4625345292948301E+18</v>
      </c>
      <c r="E102" t="s">
        <v>36</v>
      </c>
      <c r="G102" t="s">
        <v>37</v>
      </c>
      <c r="H102">
        <v>42.674675000000001</v>
      </c>
      <c r="I102">
        <v>-73.822861000000003</v>
      </c>
      <c r="J102" t="s">
        <v>22</v>
      </c>
      <c r="K102">
        <v>701</v>
      </c>
      <c r="L102">
        <v>1</v>
      </c>
      <c r="M102">
        <v>62</v>
      </c>
      <c r="N102" s="1">
        <v>46168</v>
      </c>
      <c r="O102">
        <v>1.2</v>
      </c>
      <c r="P102">
        <v>8</v>
      </c>
      <c r="Q102">
        <v>356</v>
      </c>
      <c r="R102">
        <v>22</v>
      </c>
    </row>
    <row r="103" spans="1:18" x14ac:dyDescent="0.35">
      <c r="A103">
        <v>53971505</v>
      </c>
      <c r="B103" t="s">
        <v>180</v>
      </c>
      <c r="C103">
        <v>60293220</v>
      </c>
      <c r="D103">
        <v>1.4667412397954501E+18</v>
      </c>
      <c r="E103" t="s">
        <v>166</v>
      </c>
      <c r="G103" t="s">
        <v>91</v>
      </c>
      <c r="H103">
        <v>42.658729999999998</v>
      </c>
      <c r="I103">
        <v>-73.749399999999994</v>
      </c>
      <c r="J103" t="s">
        <v>22</v>
      </c>
      <c r="L103">
        <v>13</v>
      </c>
      <c r="M103">
        <v>3</v>
      </c>
      <c r="N103" s="1">
        <v>44926</v>
      </c>
      <c r="O103">
        <v>0.06</v>
      </c>
      <c r="P103">
        <v>3</v>
      </c>
      <c r="Q103">
        <v>365</v>
      </c>
      <c r="R103">
        <v>0</v>
      </c>
    </row>
    <row r="104" spans="1:18" x14ac:dyDescent="0.35">
      <c r="A104">
        <v>54126420</v>
      </c>
      <c r="B104" t="s">
        <v>181</v>
      </c>
      <c r="C104">
        <v>37769478</v>
      </c>
      <c r="D104">
        <v>1.4655652968529201E+18</v>
      </c>
      <c r="E104" t="s">
        <v>182</v>
      </c>
      <c r="G104" t="s">
        <v>47</v>
      </c>
      <c r="H104">
        <v>42.662610000000001</v>
      </c>
      <c r="I104">
        <v>-73.790260000000004</v>
      </c>
      <c r="J104" t="s">
        <v>22</v>
      </c>
      <c r="K104">
        <v>146</v>
      </c>
      <c r="L104">
        <v>1</v>
      </c>
      <c r="M104">
        <v>124</v>
      </c>
      <c r="N104" s="1">
        <v>46166</v>
      </c>
      <c r="O104">
        <v>2.54</v>
      </c>
      <c r="P104">
        <v>16</v>
      </c>
      <c r="Q104">
        <v>248</v>
      </c>
      <c r="R104">
        <v>19</v>
      </c>
    </row>
    <row r="105" spans="1:18" x14ac:dyDescent="0.35">
      <c r="A105">
        <v>54126421</v>
      </c>
      <c r="B105" t="s">
        <v>183</v>
      </c>
      <c r="C105">
        <v>37769478</v>
      </c>
      <c r="D105">
        <v>1.4655652968529201E+18</v>
      </c>
      <c r="E105" t="s">
        <v>182</v>
      </c>
      <c r="G105" t="s">
        <v>25</v>
      </c>
      <c r="H105">
        <v>42.654220000000002</v>
      </c>
      <c r="I105">
        <v>-73.769959999999998</v>
      </c>
      <c r="J105" t="s">
        <v>22</v>
      </c>
      <c r="K105">
        <v>183</v>
      </c>
      <c r="L105">
        <v>1</v>
      </c>
      <c r="M105">
        <v>82</v>
      </c>
      <c r="N105" s="1">
        <v>46173</v>
      </c>
      <c r="O105">
        <v>1.59</v>
      </c>
      <c r="P105">
        <v>16</v>
      </c>
      <c r="Q105">
        <v>325</v>
      </c>
      <c r="R105">
        <v>13</v>
      </c>
    </row>
    <row r="106" spans="1:18" x14ac:dyDescent="0.35">
      <c r="A106">
        <v>54126427</v>
      </c>
      <c r="B106" t="s">
        <v>184</v>
      </c>
      <c r="C106">
        <v>37769478</v>
      </c>
      <c r="D106">
        <v>1.4655652968529201E+18</v>
      </c>
      <c r="E106" t="s">
        <v>182</v>
      </c>
      <c r="G106" t="s">
        <v>25</v>
      </c>
      <c r="H106">
        <v>42.654029999999999</v>
      </c>
      <c r="I106">
        <v>-73.770560000000003</v>
      </c>
      <c r="J106" t="s">
        <v>22</v>
      </c>
      <c r="K106">
        <v>173</v>
      </c>
      <c r="L106">
        <v>1</v>
      </c>
      <c r="M106">
        <v>192</v>
      </c>
      <c r="N106" s="1">
        <v>46113</v>
      </c>
      <c r="O106">
        <v>3.55</v>
      </c>
      <c r="P106">
        <v>16</v>
      </c>
      <c r="Q106">
        <v>337</v>
      </c>
      <c r="R106">
        <v>56</v>
      </c>
    </row>
    <row r="107" spans="1:18" x14ac:dyDescent="0.35">
      <c r="A107">
        <v>54150131</v>
      </c>
      <c r="B107" t="s">
        <v>185</v>
      </c>
      <c r="C107">
        <v>432936385</v>
      </c>
      <c r="D107">
        <v>1.4636894029527501E+18</v>
      </c>
      <c r="E107" t="s">
        <v>186</v>
      </c>
      <c r="G107" t="s">
        <v>25</v>
      </c>
      <c r="H107">
        <v>42.651429999999998</v>
      </c>
      <c r="I107">
        <v>-73.764970000000005</v>
      </c>
      <c r="J107" t="s">
        <v>22</v>
      </c>
      <c r="L107">
        <v>1</v>
      </c>
      <c r="M107">
        <v>266</v>
      </c>
      <c r="N107" s="1">
        <v>46089</v>
      </c>
      <c r="O107">
        <v>5.13</v>
      </c>
      <c r="P107">
        <v>1</v>
      </c>
      <c r="Q107">
        <v>0</v>
      </c>
      <c r="R107">
        <v>39</v>
      </c>
    </row>
    <row r="108" spans="1:18" x14ac:dyDescent="0.35">
      <c r="A108">
        <v>54369238</v>
      </c>
      <c r="B108" t="s">
        <v>187</v>
      </c>
      <c r="C108">
        <v>152762198</v>
      </c>
      <c r="D108">
        <v>1.4684980323377999E+18</v>
      </c>
      <c r="E108" t="s">
        <v>72</v>
      </c>
      <c r="G108" t="s">
        <v>51</v>
      </c>
      <c r="H108">
        <v>42.65578</v>
      </c>
      <c r="I108">
        <v>-73.786410000000004</v>
      </c>
      <c r="J108" t="s">
        <v>22</v>
      </c>
      <c r="K108">
        <v>144</v>
      </c>
      <c r="L108">
        <v>3</v>
      </c>
      <c r="M108">
        <v>87</v>
      </c>
      <c r="N108" s="1">
        <v>46159</v>
      </c>
      <c r="O108">
        <v>1.92</v>
      </c>
      <c r="P108">
        <v>9</v>
      </c>
      <c r="Q108">
        <v>219</v>
      </c>
      <c r="R108">
        <v>29</v>
      </c>
    </row>
    <row r="109" spans="1:18" x14ac:dyDescent="0.35">
      <c r="A109">
        <v>54369240</v>
      </c>
      <c r="B109" t="s">
        <v>188</v>
      </c>
      <c r="C109">
        <v>152762198</v>
      </c>
      <c r="D109">
        <v>1.4684980323377999E+18</v>
      </c>
      <c r="E109" t="s">
        <v>72</v>
      </c>
      <c r="G109" t="s">
        <v>47</v>
      </c>
      <c r="H109">
        <v>42.659050000000001</v>
      </c>
      <c r="I109">
        <v>-73.779640000000001</v>
      </c>
      <c r="J109" t="s">
        <v>22</v>
      </c>
      <c r="K109">
        <v>137</v>
      </c>
      <c r="L109">
        <v>3</v>
      </c>
      <c r="M109">
        <v>66</v>
      </c>
      <c r="N109" s="1">
        <v>46094</v>
      </c>
      <c r="O109">
        <v>1.33</v>
      </c>
      <c r="P109">
        <v>9</v>
      </c>
      <c r="Q109">
        <v>319</v>
      </c>
      <c r="R109">
        <v>9</v>
      </c>
    </row>
    <row r="110" spans="1:18" x14ac:dyDescent="0.35">
      <c r="A110">
        <v>5.5924982251678797E+17</v>
      </c>
      <c r="B110" t="s">
        <v>189</v>
      </c>
      <c r="C110">
        <v>433884293</v>
      </c>
      <c r="D110">
        <v>1.46369159572623E+18</v>
      </c>
      <c r="E110" t="s">
        <v>190</v>
      </c>
      <c r="G110" t="s">
        <v>51</v>
      </c>
      <c r="H110">
        <v>42.660620000000002</v>
      </c>
      <c r="I110">
        <v>-73.791120000000006</v>
      </c>
      <c r="J110" t="s">
        <v>22</v>
      </c>
      <c r="K110">
        <v>95</v>
      </c>
      <c r="L110">
        <v>5</v>
      </c>
      <c r="M110">
        <v>2</v>
      </c>
      <c r="N110" s="1">
        <v>45103</v>
      </c>
      <c r="O110">
        <v>0.04</v>
      </c>
      <c r="P110">
        <v>1</v>
      </c>
      <c r="Q110">
        <v>363</v>
      </c>
      <c r="R110">
        <v>0</v>
      </c>
    </row>
    <row r="111" spans="1:18" x14ac:dyDescent="0.35">
      <c r="A111">
        <v>5.8829841173069402E+17</v>
      </c>
      <c r="B111" t="s">
        <v>191</v>
      </c>
      <c r="C111">
        <v>353498132</v>
      </c>
      <c r="D111">
        <v>1.4635138835511601E+18</v>
      </c>
      <c r="E111" t="s">
        <v>127</v>
      </c>
      <c r="G111" t="s">
        <v>28</v>
      </c>
      <c r="H111">
        <v>42.644410000000001</v>
      </c>
      <c r="I111">
        <v>-73.756469999999993</v>
      </c>
      <c r="J111" t="s">
        <v>22</v>
      </c>
      <c r="K111">
        <v>108</v>
      </c>
      <c r="L111">
        <v>13</v>
      </c>
      <c r="M111">
        <v>17</v>
      </c>
      <c r="N111" s="1">
        <v>46082</v>
      </c>
      <c r="O111">
        <v>0.35</v>
      </c>
      <c r="P111">
        <v>6</v>
      </c>
      <c r="Q111">
        <v>166</v>
      </c>
      <c r="R111">
        <v>3</v>
      </c>
    </row>
    <row r="112" spans="1:18" x14ac:dyDescent="0.35">
      <c r="A112">
        <v>5.9327212049764301E+17</v>
      </c>
      <c r="B112" t="s">
        <v>192</v>
      </c>
      <c r="C112">
        <v>382970529</v>
      </c>
      <c r="D112">
        <v>1.4635744483223401E+18</v>
      </c>
      <c r="E112" t="s">
        <v>141</v>
      </c>
      <c r="G112" t="s">
        <v>68</v>
      </c>
      <c r="H112">
        <v>42.669110000000003</v>
      </c>
      <c r="I112">
        <v>-73.798689999999993</v>
      </c>
      <c r="J112" t="s">
        <v>31</v>
      </c>
      <c r="K112">
        <v>124</v>
      </c>
      <c r="L112">
        <v>1</v>
      </c>
      <c r="M112">
        <v>157</v>
      </c>
      <c r="N112" s="1">
        <v>46145</v>
      </c>
      <c r="O112">
        <v>3.25</v>
      </c>
      <c r="P112">
        <v>12</v>
      </c>
      <c r="Q112">
        <v>3</v>
      </c>
      <c r="R112">
        <v>31</v>
      </c>
    </row>
    <row r="113" spans="1:18" x14ac:dyDescent="0.35">
      <c r="A113">
        <v>6.1724207395459494E+17</v>
      </c>
      <c r="B113" t="s">
        <v>193</v>
      </c>
      <c r="C113">
        <v>433096110</v>
      </c>
      <c r="D113">
        <v>1.4699604510154099E+18</v>
      </c>
      <c r="E113" t="s">
        <v>176</v>
      </c>
      <c r="G113" t="s">
        <v>25</v>
      </c>
      <c r="H113">
        <v>42.653530000000003</v>
      </c>
      <c r="I113">
        <v>-73.767899999999997</v>
      </c>
      <c r="J113" t="s">
        <v>22</v>
      </c>
      <c r="K113">
        <v>177</v>
      </c>
      <c r="L113">
        <v>1</v>
      </c>
      <c r="M113">
        <v>242</v>
      </c>
      <c r="N113" s="1">
        <v>46188</v>
      </c>
      <c r="O113">
        <v>4.84</v>
      </c>
      <c r="P113">
        <v>4</v>
      </c>
      <c r="Q113">
        <v>91</v>
      </c>
      <c r="R113">
        <v>63</v>
      </c>
    </row>
    <row r="114" spans="1:18" x14ac:dyDescent="0.35">
      <c r="A114">
        <v>6.1969511239414797E+17</v>
      </c>
      <c r="B114" t="s">
        <v>194</v>
      </c>
      <c r="C114">
        <v>353498132</v>
      </c>
      <c r="D114">
        <v>1.4635138835511601E+18</v>
      </c>
      <c r="E114" t="s">
        <v>127</v>
      </c>
      <c r="G114" t="s">
        <v>28</v>
      </c>
      <c r="H114">
        <v>42.644889999999997</v>
      </c>
      <c r="I114">
        <v>-73.757310000000004</v>
      </c>
      <c r="J114" t="s">
        <v>22</v>
      </c>
      <c r="K114">
        <v>152</v>
      </c>
      <c r="L114">
        <v>13</v>
      </c>
      <c r="M114">
        <v>12</v>
      </c>
      <c r="N114" s="1">
        <v>46073</v>
      </c>
      <c r="O114">
        <v>0.25</v>
      </c>
      <c r="P114">
        <v>6</v>
      </c>
      <c r="Q114">
        <v>282</v>
      </c>
      <c r="R114">
        <v>2</v>
      </c>
    </row>
    <row r="115" spans="1:18" x14ac:dyDescent="0.35">
      <c r="A115">
        <v>6.2196019856675802E+17</v>
      </c>
      <c r="B115" t="s">
        <v>195</v>
      </c>
      <c r="C115">
        <v>382970529</v>
      </c>
      <c r="D115">
        <v>1.4635744483223401E+18</v>
      </c>
      <c r="E115" t="s">
        <v>141</v>
      </c>
      <c r="G115" t="s">
        <v>34</v>
      </c>
      <c r="H115">
        <v>42.667619999999999</v>
      </c>
      <c r="I115">
        <v>-73.799189999999996</v>
      </c>
      <c r="J115" t="s">
        <v>22</v>
      </c>
      <c r="K115">
        <v>1701</v>
      </c>
      <c r="L115">
        <v>1</v>
      </c>
      <c r="M115">
        <v>18</v>
      </c>
      <c r="N115" s="1">
        <v>45925</v>
      </c>
      <c r="O115">
        <v>0.38</v>
      </c>
      <c r="P115">
        <v>12</v>
      </c>
      <c r="Q115">
        <v>148</v>
      </c>
      <c r="R115">
        <v>3</v>
      </c>
    </row>
    <row r="116" spans="1:18" x14ac:dyDescent="0.35">
      <c r="A116">
        <v>6.2816338705723302E+17</v>
      </c>
      <c r="B116" t="s">
        <v>196</v>
      </c>
      <c r="C116">
        <v>47625981</v>
      </c>
      <c r="D116">
        <v>1.46270726328816E+18</v>
      </c>
      <c r="E116" t="s">
        <v>132</v>
      </c>
      <c r="G116" t="s">
        <v>28</v>
      </c>
      <c r="H116">
        <v>42.64528</v>
      </c>
      <c r="I116">
        <v>-73.758610000000004</v>
      </c>
      <c r="J116" t="s">
        <v>22</v>
      </c>
      <c r="K116">
        <v>208</v>
      </c>
      <c r="L116">
        <v>1</v>
      </c>
      <c r="M116">
        <v>66</v>
      </c>
      <c r="N116" s="1">
        <v>46171</v>
      </c>
      <c r="O116">
        <v>1.35</v>
      </c>
      <c r="P116">
        <v>16</v>
      </c>
      <c r="Q116">
        <v>189</v>
      </c>
      <c r="R116">
        <v>9</v>
      </c>
    </row>
    <row r="117" spans="1:18" x14ac:dyDescent="0.35">
      <c r="A117">
        <v>6.2882412712996698E+17</v>
      </c>
      <c r="B117" t="s">
        <v>197</v>
      </c>
      <c r="C117">
        <v>7164949</v>
      </c>
      <c r="D117">
        <v>1.4627250859825001E+18</v>
      </c>
      <c r="E117" t="s">
        <v>198</v>
      </c>
      <c r="G117" t="s">
        <v>21</v>
      </c>
      <c r="H117">
        <v>42.661699748312202</v>
      </c>
      <c r="I117">
        <v>-73.764668276057407</v>
      </c>
      <c r="J117" t="s">
        <v>31</v>
      </c>
      <c r="K117">
        <v>94</v>
      </c>
      <c r="L117">
        <v>3</v>
      </c>
      <c r="M117">
        <v>0</v>
      </c>
      <c r="P117">
        <v>1</v>
      </c>
      <c r="Q117">
        <v>88</v>
      </c>
      <c r="R117">
        <v>0</v>
      </c>
    </row>
    <row r="118" spans="1:18" x14ac:dyDescent="0.35">
      <c r="A118">
        <v>6.3410814323817894E+17</v>
      </c>
      <c r="B118" t="s">
        <v>199</v>
      </c>
      <c r="C118">
        <v>119340359</v>
      </c>
      <c r="D118">
        <v>1.4682168017483E+18</v>
      </c>
      <c r="E118" t="s">
        <v>200</v>
      </c>
      <c r="G118" t="s">
        <v>25</v>
      </c>
      <c r="H118">
        <v>42.653230000000001</v>
      </c>
      <c r="I118">
        <v>-73.767970000000005</v>
      </c>
      <c r="J118" t="s">
        <v>22</v>
      </c>
      <c r="L118">
        <v>30</v>
      </c>
      <c r="M118">
        <v>103</v>
      </c>
      <c r="N118" s="1">
        <v>45868</v>
      </c>
      <c r="O118">
        <v>2.09</v>
      </c>
      <c r="P118">
        <v>2</v>
      </c>
      <c r="Q118">
        <v>0</v>
      </c>
      <c r="R118">
        <v>2</v>
      </c>
    </row>
    <row r="119" spans="1:18" x14ac:dyDescent="0.35">
      <c r="A119">
        <v>6.3890089731314598E+17</v>
      </c>
      <c r="B119" t="s">
        <v>201</v>
      </c>
      <c r="C119">
        <v>335923036</v>
      </c>
      <c r="D119">
        <v>1.4696507489316201E+18</v>
      </c>
      <c r="E119" t="s">
        <v>202</v>
      </c>
      <c r="G119" t="s">
        <v>28</v>
      </c>
      <c r="H119">
        <v>42.645350999999998</v>
      </c>
      <c r="I119">
        <v>-73.753647000000001</v>
      </c>
      <c r="J119" t="s">
        <v>22</v>
      </c>
      <c r="K119">
        <v>1267</v>
      </c>
      <c r="L119">
        <v>1</v>
      </c>
      <c r="M119">
        <v>10</v>
      </c>
      <c r="N119" s="1">
        <v>45164</v>
      </c>
      <c r="O119">
        <v>0.2</v>
      </c>
      <c r="P119">
        <v>1</v>
      </c>
      <c r="Q119">
        <v>365</v>
      </c>
      <c r="R119">
        <v>0</v>
      </c>
    </row>
    <row r="120" spans="1:18" x14ac:dyDescent="0.35">
      <c r="A120">
        <v>6.4997389255149197E+17</v>
      </c>
      <c r="B120" t="s">
        <v>203</v>
      </c>
      <c r="C120">
        <v>353498132</v>
      </c>
      <c r="D120">
        <v>1.4635138835511601E+18</v>
      </c>
      <c r="E120" t="s">
        <v>127</v>
      </c>
      <c r="G120" t="s">
        <v>28</v>
      </c>
      <c r="H120">
        <v>42.646250000000002</v>
      </c>
      <c r="I120">
        <v>-73.756630000000001</v>
      </c>
      <c r="J120" t="s">
        <v>22</v>
      </c>
      <c r="K120">
        <v>216</v>
      </c>
      <c r="L120">
        <v>14</v>
      </c>
      <c r="M120">
        <v>8</v>
      </c>
      <c r="N120" s="1">
        <v>45622</v>
      </c>
      <c r="O120">
        <v>0.17</v>
      </c>
      <c r="P120">
        <v>6</v>
      </c>
      <c r="Q120">
        <v>166</v>
      </c>
      <c r="R120">
        <v>0</v>
      </c>
    </row>
    <row r="121" spans="1:18" x14ac:dyDescent="0.35">
      <c r="A121">
        <v>6.5863818519174003E+17</v>
      </c>
      <c r="B121" t="s">
        <v>204</v>
      </c>
      <c r="C121">
        <v>466389096</v>
      </c>
      <c r="D121">
        <v>1.4701023860720599E+18</v>
      </c>
      <c r="E121" t="s">
        <v>205</v>
      </c>
      <c r="G121" t="s">
        <v>117</v>
      </c>
      <c r="H121">
        <v>42.637454699999999</v>
      </c>
      <c r="I121">
        <v>-73.771664700000002</v>
      </c>
      <c r="J121" t="s">
        <v>22</v>
      </c>
      <c r="K121">
        <v>214</v>
      </c>
      <c r="L121">
        <v>5</v>
      </c>
      <c r="M121">
        <v>5</v>
      </c>
      <c r="N121" s="1">
        <v>45191</v>
      </c>
      <c r="O121">
        <v>0.1</v>
      </c>
      <c r="P121">
        <v>2</v>
      </c>
      <c r="Q121">
        <v>357</v>
      </c>
      <c r="R121">
        <v>0</v>
      </c>
    </row>
    <row r="122" spans="1:18" x14ac:dyDescent="0.35">
      <c r="A122">
        <v>6.6213280995248205E+17</v>
      </c>
      <c r="B122" t="s">
        <v>206</v>
      </c>
      <c r="C122">
        <v>466389096</v>
      </c>
      <c r="D122">
        <v>1.4701023860720599E+18</v>
      </c>
      <c r="E122" t="s">
        <v>205</v>
      </c>
      <c r="G122" t="s">
        <v>117</v>
      </c>
      <c r="H122">
        <v>42.637881899999996</v>
      </c>
      <c r="I122">
        <v>-73.771526899999998</v>
      </c>
      <c r="J122" t="s">
        <v>22</v>
      </c>
      <c r="K122">
        <v>176</v>
      </c>
      <c r="L122">
        <v>7</v>
      </c>
      <c r="M122">
        <v>2</v>
      </c>
      <c r="N122" s="1">
        <v>45516</v>
      </c>
      <c r="O122">
        <v>0.04</v>
      </c>
      <c r="P122">
        <v>2</v>
      </c>
      <c r="Q122">
        <v>365</v>
      </c>
      <c r="R122">
        <v>0</v>
      </c>
    </row>
    <row r="123" spans="1:18" x14ac:dyDescent="0.35">
      <c r="A123">
        <v>6.7762319760685402E+17</v>
      </c>
      <c r="B123" t="s">
        <v>207</v>
      </c>
      <c r="C123">
        <v>203631769</v>
      </c>
      <c r="D123">
        <v>1.46906261197681E+18</v>
      </c>
      <c r="E123" t="s">
        <v>208</v>
      </c>
      <c r="G123" t="s">
        <v>28</v>
      </c>
      <c r="H123">
        <v>42.645310000000002</v>
      </c>
      <c r="I123">
        <v>-73.759630000000001</v>
      </c>
      <c r="J123" t="s">
        <v>22</v>
      </c>
      <c r="L123">
        <v>2</v>
      </c>
      <c r="M123">
        <v>28</v>
      </c>
      <c r="N123" s="1">
        <v>45198</v>
      </c>
      <c r="O123">
        <v>0.6</v>
      </c>
      <c r="P123">
        <v>1</v>
      </c>
      <c r="Q123">
        <v>0</v>
      </c>
      <c r="R123">
        <v>0</v>
      </c>
    </row>
    <row r="124" spans="1:18" x14ac:dyDescent="0.35">
      <c r="A124">
        <v>6.8971933846866304E+17</v>
      </c>
      <c r="B124" t="s">
        <v>209</v>
      </c>
      <c r="C124">
        <v>1717342</v>
      </c>
      <c r="D124">
        <v>1.46251991937325E+18</v>
      </c>
      <c r="E124" t="s">
        <v>166</v>
      </c>
      <c r="G124" t="s">
        <v>25</v>
      </c>
      <c r="H124">
        <v>42.654057650371499</v>
      </c>
      <c r="I124">
        <v>-73.760712996295098</v>
      </c>
      <c r="J124" t="s">
        <v>22</v>
      </c>
      <c r="K124">
        <v>149</v>
      </c>
      <c r="L124">
        <v>1</v>
      </c>
      <c r="M124">
        <v>348</v>
      </c>
      <c r="N124" s="1">
        <v>46171</v>
      </c>
      <c r="O124">
        <v>7.47</v>
      </c>
      <c r="P124">
        <v>2</v>
      </c>
      <c r="Q124">
        <v>315</v>
      </c>
      <c r="R124">
        <v>80</v>
      </c>
    </row>
    <row r="125" spans="1:18" x14ac:dyDescent="0.35">
      <c r="A125">
        <v>6.9280791475611699E+17</v>
      </c>
      <c r="B125" t="s">
        <v>210</v>
      </c>
      <c r="C125">
        <v>67337944</v>
      </c>
      <c r="D125">
        <v>1.4668320515735199E+18</v>
      </c>
      <c r="E125" t="s">
        <v>211</v>
      </c>
      <c r="G125" t="s">
        <v>40</v>
      </c>
      <c r="H125">
        <v>42.662300000000002</v>
      </c>
      <c r="I125">
        <v>-73.777000000000001</v>
      </c>
      <c r="J125" t="s">
        <v>22</v>
      </c>
      <c r="K125">
        <v>84</v>
      </c>
      <c r="L125">
        <v>31</v>
      </c>
      <c r="M125">
        <v>103</v>
      </c>
      <c r="N125" s="1">
        <v>45711</v>
      </c>
      <c r="O125">
        <v>2.44</v>
      </c>
      <c r="P125">
        <v>1</v>
      </c>
      <c r="Q125">
        <v>166</v>
      </c>
      <c r="R125">
        <v>0</v>
      </c>
    </row>
    <row r="126" spans="1:18" x14ac:dyDescent="0.35">
      <c r="A126">
        <v>6.9907370018563302E+17</v>
      </c>
      <c r="B126" t="s">
        <v>212</v>
      </c>
      <c r="C126">
        <v>476189412</v>
      </c>
      <c r="D126">
        <v>1.47014647691263E+18</v>
      </c>
      <c r="E126" t="s">
        <v>213</v>
      </c>
      <c r="G126" t="s">
        <v>28</v>
      </c>
      <c r="H126">
        <v>42.646850200000003</v>
      </c>
      <c r="I126">
        <v>-73.758725799999993</v>
      </c>
      <c r="J126" t="s">
        <v>22</v>
      </c>
      <c r="K126">
        <v>436</v>
      </c>
      <c r="L126">
        <v>2</v>
      </c>
      <c r="M126">
        <v>10</v>
      </c>
      <c r="N126" s="1">
        <v>46103</v>
      </c>
      <c r="O126">
        <v>0.22</v>
      </c>
      <c r="P126">
        <v>3</v>
      </c>
      <c r="Q126">
        <v>122</v>
      </c>
      <c r="R126">
        <v>5</v>
      </c>
    </row>
    <row r="127" spans="1:18" x14ac:dyDescent="0.35">
      <c r="A127">
        <v>7.0355164984509504E+17</v>
      </c>
      <c r="B127" t="s">
        <v>214</v>
      </c>
      <c r="C127">
        <v>3650672</v>
      </c>
      <c r="D127">
        <v>1.4626361380541801E+18</v>
      </c>
      <c r="E127" t="s">
        <v>215</v>
      </c>
      <c r="G127" t="s">
        <v>68</v>
      </c>
      <c r="H127">
        <v>42.670749999999998</v>
      </c>
      <c r="I127">
        <v>-73.797039999999996</v>
      </c>
      <c r="J127" t="s">
        <v>22</v>
      </c>
      <c r="K127">
        <v>290</v>
      </c>
      <c r="L127">
        <v>2</v>
      </c>
      <c r="M127">
        <v>6</v>
      </c>
      <c r="N127" s="1">
        <v>46015</v>
      </c>
      <c r="O127">
        <v>0.26</v>
      </c>
      <c r="P127">
        <v>1</v>
      </c>
      <c r="Q127">
        <v>160</v>
      </c>
      <c r="R127">
        <v>2</v>
      </c>
    </row>
    <row r="128" spans="1:18" x14ac:dyDescent="0.35">
      <c r="A128">
        <v>7.0454492216006298E+17</v>
      </c>
      <c r="B128" t="s">
        <v>216</v>
      </c>
      <c r="C128">
        <v>58406953</v>
      </c>
      <c r="D128">
        <v>1.4666999974455301E+18</v>
      </c>
      <c r="E128" t="s">
        <v>217</v>
      </c>
      <c r="G128" t="s">
        <v>68</v>
      </c>
      <c r="H128">
        <v>42.674849999999999</v>
      </c>
      <c r="I128">
        <v>-73.798670000000001</v>
      </c>
      <c r="J128" t="s">
        <v>22</v>
      </c>
      <c r="K128">
        <v>145</v>
      </c>
      <c r="L128">
        <v>3</v>
      </c>
      <c r="M128">
        <v>9</v>
      </c>
      <c r="N128" s="1">
        <v>46050</v>
      </c>
      <c r="O128">
        <v>0.2</v>
      </c>
      <c r="P128">
        <v>1</v>
      </c>
      <c r="Q128">
        <v>162</v>
      </c>
      <c r="R128">
        <v>6</v>
      </c>
    </row>
    <row r="129" spans="1:18" x14ac:dyDescent="0.35">
      <c r="A129">
        <v>7.0566026255900301E+17</v>
      </c>
      <c r="B129" t="s">
        <v>218</v>
      </c>
      <c r="C129">
        <v>353498132</v>
      </c>
      <c r="D129">
        <v>1.4635138835511601E+18</v>
      </c>
      <c r="E129" t="s">
        <v>127</v>
      </c>
      <c r="G129" t="s">
        <v>28</v>
      </c>
      <c r="H129">
        <v>42.645769999999999</v>
      </c>
      <c r="I129">
        <v>-73.758300000000006</v>
      </c>
      <c r="J129" t="s">
        <v>22</v>
      </c>
      <c r="K129">
        <v>232</v>
      </c>
      <c r="L129">
        <v>13</v>
      </c>
      <c r="M129">
        <v>10</v>
      </c>
      <c r="N129" s="1">
        <v>45928</v>
      </c>
      <c r="O129">
        <v>0.24</v>
      </c>
      <c r="P129">
        <v>6</v>
      </c>
      <c r="Q129">
        <v>166</v>
      </c>
      <c r="R129">
        <v>2</v>
      </c>
    </row>
    <row r="130" spans="1:18" x14ac:dyDescent="0.35">
      <c r="A130">
        <v>7.1737313584640794E+17</v>
      </c>
      <c r="B130" t="s">
        <v>219</v>
      </c>
      <c r="C130">
        <v>232967878</v>
      </c>
      <c r="D130">
        <v>1.4688023724058199E+18</v>
      </c>
      <c r="E130" t="s">
        <v>95</v>
      </c>
      <c r="G130" t="s">
        <v>68</v>
      </c>
      <c r="H130">
        <v>42.672609999999999</v>
      </c>
      <c r="I130">
        <v>-73.792619999999999</v>
      </c>
      <c r="J130" t="s">
        <v>22</v>
      </c>
      <c r="K130">
        <v>228</v>
      </c>
      <c r="L130">
        <v>2</v>
      </c>
      <c r="M130">
        <v>75</v>
      </c>
      <c r="N130" s="1">
        <v>46157</v>
      </c>
      <c r="O130">
        <v>1.69</v>
      </c>
      <c r="P130">
        <v>14</v>
      </c>
      <c r="Q130">
        <v>65</v>
      </c>
      <c r="R130">
        <v>10</v>
      </c>
    </row>
    <row r="131" spans="1:18" x14ac:dyDescent="0.35">
      <c r="A131">
        <v>7.3587962374392102E+17</v>
      </c>
      <c r="B131" t="s">
        <v>220</v>
      </c>
      <c r="C131">
        <v>44434571</v>
      </c>
      <c r="D131">
        <v>1.46269698801421E+18</v>
      </c>
      <c r="E131" t="s">
        <v>87</v>
      </c>
      <c r="G131" t="s">
        <v>21</v>
      </c>
      <c r="H131">
        <v>42.64564</v>
      </c>
      <c r="I131">
        <v>-73.752610000000004</v>
      </c>
      <c r="J131" t="s">
        <v>22</v>
      </c>
      <c r="K131">
        <v>155</v>
      </c>
      <c r="L131">
        <v>1</v>
      </c>
      <c r="M131">
        <v>114</v>
      </c>
      <c r="N131" s="1">
        <v>46168</v>
      </c>
      <c r="O131">
        <v>2.58</v>
      </c>
      <c r="P131">
        <v>11</v>
      </c>
      <c r="Q131">
        <v>357</v>
      </c>
      <c r="R131">
        <v>33</v>
      </c>
    </row>
    <row r="132" spans="1:18" x14ac:dyDescent="0.35">
      <c r="A132">
        <v>7.3689399213275405E+17</v>
      </c>
      <c r="B132" t="s">
        <v>221</v>
      </c>
      <c r="C132">
        <v>77367219</v>
      </c>
      <c r="D132">
        <v>1.4669473896242199E+18</v>
      </c>
      <c r="E132" t="s">
        <v>33</v>
      </c>
      <c r="G132" t="s">
        <v>25</v>
      </c>
      <c r="H132">
        <v>42.65643</v>
      </c>
      <c r="I132">
        <v>-73.764020000000002</v>
      </c>
      <c r="J132" t="s">
        <v>31</v>
      </c>
      <c r="K132">
        <v>30</v>
      </c>
      <c r="L132">
        <v>30</v>
      </c>
      <c r="M132">
        <v>3</v>
      </c>
      <c r="N132" s="1">
        <v>45570</v>
      </c>
      <c r="O132">
        <v>7.0000000000000007E-2</v>
      </c>
      <c r="P132">
        <v>1</v>
      </c>
      <c r="Q132">
        <v>319</v>
      </c>
      <c r="R132">
        <v>0</v>
      </c>
    </row>
    <row r="133" spans="1:18" x14ac:dyDescent="0.35">
      <c r="A133">
        <v>7.3757427827603699E+17</v>
      </c>
      <c r="B133" t="s">
        <v>222</v>
      </c>
      <c r="C133">
        <v>232967878</v>
      </c>
      <c r="D133">
        <v>1.4688023724058199E+18</v>
      </c>
      <c r="E133" t="s">
        <v>95</v>
      </c>
      <c r="G133" t="s">
        <v>47</v>
      </c>
      <c r="H133">
        <v>42.660690000000002</v>
      </c>
      <c r="I133">
        <v>-73.785550000000001</v>
      </c>
      <c r="J133" t="s">
        <v>22</v>
      </c>
      <c r="K133">
        <v>403</v>
      </c>
      <c r="L133">
        <v>1</v>
      </c>
      <c r="M133">
        <v>46</v>
      </c>
      <c r="N133" s="1">
        <v>45718</v>
      </c>
      <c r="O133">
        <v>1.05</v>
      </c>
      <c r="P133">
        <v>14</v>
      </c>
      <c r="Q133">
        <v>66</v>
      </c>
      <c r="R133">
        <v>0</v>
      </c>
    </row>
    <row r="134" spans="1:18" x14ac:dyDescent="0.35">
      <c r="A134">
        <v>7.3972250309275494E+17</v>
      </c>
      <c r="B134" t="s">
        <v>223</v>
      </c>
      <c r="C134">
        <v>98744672</v>
      </c>
      <c r="D134">
        <v>1.4628674422792599E+18</v>
      </c>
      <c r="E134" t="s">
        <v>66</v>
      </c>
      <c r="G134" t="s">
        <v>51</v>
      </c>
      <c r="H134">
        <v>42.654317800000001</v>
      </c>
      <c r="I134">
        <v>-73.781822199999993</v>
      </c>
      <c r="J134" t="s">
        <v>31</v>
      </c>
      <c r="K134">
        <v>86</v>
      </c>
      <c r="L134">
        <v>2</v>
      </c>
      <c r="M134">
        <v>47</v>
      </c>
      <c r="N134" s="1">
        <v>46121</v>
      </c>
      <c r="O134">
        <v>1.06</v>
      </c>
      <c r="P134">
        <v>8</v>
      </c>
      <c r="Q134">
        <v>324</v>
      </c>
      <c r="R134">
        <v>9</v>
      </c>
    </row>
    <row r="135" spans="1:18" x14ac:dyDescent="0.35">
      <c r="A135">
        <v>7.44430701454304E+17</v>
      </c>
      <c r="B135" t="s">
        <v>224</v>
      </c>
      <c r="C135">
        <v>65414985</v>
      </c>
      <c r="D135">
        <v>1.4668089859030799E+18</v>
      </c>
      <c r="E135" t="s">
        <v>63</v>
      </c>
      <c r="G135" t="s">
        <v>64</v>
      </c>
      <c r="H135">
        <v>42.6496</v>
      </c>
      <c r="I135">
        <v>-73.767920000000004</v>
      </c>
      <c r="J135" t="s">
        <v>22</v>
      </c>
      <c r="K135">
        <v>147</v>
      </c>
      <c r="L135">
        <v>2</v>
      </c>
      <c r="M135">
        <v>47</v>
      </c>
      <c r="N135" s="1">
        <v>46167</v>
      </c>
      <c r="O135">
        <v>1.22</v>
      </c>
      <c r="P135">
        <v>2</v>
      </c>
      <c r="Q135">
        <v>355</v>
      </c>
      <c r="R135">
        <v>16</v>
      </c>
    </row>
    <row r="136" spans="1:18" x14ac:dyDescent="0.35">
      <c r="A136">
        <v>7.5675255639679795E+17</v>
      </c>
      <c r="B136" t="s">
        <v>225</v>
      </c>
      <c r="C136">
        <v>69729286</v>
      </c>
      <c r="D136">
        <v>1.46279070033601E+18</v>
      </c>
      <c r="E136" t="s">
        <v>42</v>
      </c>
      <c r="G136" t="s">
        <v>25</v>
      </c>
      <c r="H136">
        <v>42.652589999999996</v>
      </c>
      <c r="I136">
        <v>-73.767319999999998</v>
      </c>
      <c r="J136" t="s">
        <v>31</v>
      </c>
      <c r="K136">
        <v>55</v>
      </c>
      <c r="L136">
        <v>20</v>
      </c>
      <c r="M136">
        <v>22</v>
      </c>
      <c r="N136" s="1">
        <v>46147</v>
      </c>
      <c r="O136">
        <v>0.52</v>
      </c>
      <c r="P136">
        <v>2</v>
      </c>
      <c r="Q136">
        <v>241</v>
      </c>
      <c r="R136">
        <v>4</v>
      </c>
    </row>
    <row r="137" spans="1:18" x14ac:dyDescent="0.35">
      <c r="A137">
        <v>7.5734223527720704E+17</v>
      </c>
      <c r="B137" t="s">
        <v>226</v>
      </c>
      <c r="C137">
        <v>188679144</v>
      </c>
      <c r="D137">
        <v>1.46897784365329E+18</v>
      </c>
      <c r="E137" t="s">
        <v>33</v>
      </c>
      <c r="G137" t="s">
        <v>25</v>
      </c>
      <c r="H137">
        <v>42.655340000000002</v>
      </c>
      <c r="I137">
        <v>-73.764610000000005</v>
      </c>
      <c r="J137" t="s">
        <v>22</v>
      </c>
      <c r="K137">
        <v>104</v>
      </c>
      <c r="L137">
        <v>7</v>
      </c>
      <c r="M137">
        <v>15</v>
      </c>
      <c r="N137" s="1">
        <v>46068</v>
      </c>
      <c r="O137">
        <v>0.35</v>
      </c>
      <c r="P137">
        <v>11</v>
      </c>
      <c r="Q137">
        <v>312</v>
      </c>
      <c r="R137">
        <v>1</v>
      </c>
    </row>
    <row r="138" spans="1:18" x14ac:dyDescent="0.35">
      <c r="A138">
        <v>7.5797803727961101E+17</v>
      </c>
      <c r="B138" t="s">
        <v>227</v>
      </c>
      <c r="C138">
        <v>232967878</v>
      </c>
      <c r="D138">
        <v>1.4688023724058199E+18</v>
      </c>
      <c r="E138" t="s">
        <v>95</v>
      </c>
      <c r="G138" t="s">
        <v>68</v>
      </c>
      <c r="H138">
        <v>42.672609999999999</v>
      </c>
      <c r="I138">
        <v>-73.792619999999999</v>
      </c>
      <c r="J138" t="s">
        <v>22</v>
      </c>
      <c r="K138">
        <v>249</v>
      </c>
      <c r="L138">
        <v>2</v>
      </c>
      <c r="M138">
        <v>70</v>
      </c>
      <c r="N138" s="1">
        <v>46148</v>
      </c>
      <c r="O138">
        <v>1.74</v>
      </c>
      <c r="P138">
        <v>14</v>
      </c>
      <c r="Q138">
        <v>36</v>
      </c>
      <c r="R138">
        <v>18</v>
      </c>
    </row>
    <row r="139" spans="1:18" x14ac:dyDescent="0.35">
      <c r="A139">
        <v>7.6114171582774605E+17</v>
      </c>
      <c r="B139" t="s">
        <v>228</v>
      </c>
      <c r="C139">
        <v>37769478</v>
      </c>
      <c r="D139">
        <v>1.4655652968529201E+18</v>
      </c>
      <c r="E139" t="s">
        <v>182</v>
      </c>
      <c r="G139" t="s">
        <v>25</v>
      </c>
      <c r="H139">
        <v>42.654049999999998</v>
      </c>
      <c r="I139">
        <v>-73.769530000000003</v>
      </c>
      <c r="J139" t="s">
        <v>22</v>
      </c>
      <c r="K139">
        <v>183</v>
      </c>
      <c r="L139">
        <v>1</v>
      </c>
      <c r="M139">
        <v>50</v>
      </c>
      <c r="N139" s="1">
        <v>46152</v>
      </c>
      <c r="O139">
        <v>1.17</v>
      </c>
      <c r="P139">
        <v>16</v>
      </c>
      <c r="Q139">
        <v>259</v>
      </c>
      <c r="R139">
        <v>5</v>
      </c>
    </row>
    <row r="140" spans="1:18" x14ac:dyDescent="0.35">
      <c r="A140">
        <v>7.6450886683521805E+17</v>
      </c>
      <c r="B140" t="s">
        <v>229</v>
      </c>
      <c r="C140">
        <v>6203319</v>
      </c>
      <c r="D140">
        <v>1.4627005232227999E+18</v>
      </c>
      <c r="E140" t="s">
        <v>230</v>
      </c>
      <c r="G140" t="s">
        <v>47</v>
      </c>
      <c r="H140">
        <v>42.661169999999998</v>
      </c>
      <c r="I140">
        <v>-73.790909999999997</v>
      </c>
      <c r="J140" t="s">
        <v>31</v>
      </c>
      <c r="K140">
        <v>115</v>
      </c>
      <c r="L140">
        <v>1</v>
      </c>
      <c r="M140">
        <v>44</v>
      </c>
      <c r="N140" s="1">
        <v>46159</v>
      </c>
      <c r="O140">
        <v>1.02</v>
      </c>
      <c r="P140">
        <v>2</v>
      </c>
      <c r="Q140">
        <v>10</v>
      </c>
      <c r="R140">
        <v>13</v>
      </c>
    </row>
    <row r="141" spans="1:18" x14ac:dyDescent="0.35">
      <c r="A141">
        <v>7.7470110220341402E+17</v>
      </c>
      <c r="B141" t="s">
        <v>231</v>
      </c>
      <c r="C141">
        <v>261036923</v>
      </c>
      <c r="D141">
        <v>1.4633267780546401E+18</v>
      </c>
      <c r="E141" t="s">
        <v>232</v>
      </c>
      <c r="G141" t="s">
        <v>34</v>
      </c>
      <c r="H141">
        <v>42.6601</v>
      </c>
      <c r="I141">
        <v>-73.807190000000006</v>
      </c>
      <c r="J141" t="s">
        <v>22</v>
      </c>
      <c r="K141">
        <v>91</v>
      </c>
      <c r="L141">
        <v>4</v>
      </c>
      <c r="M141">
        <v>78</v>
      </c>
      <c r="N141" s="1">
        <v>46173</v>
      </c>
      <c r="O141">
        <v>1.85</v>
      </c>
      <c r="P141">
        <v>1</v>
      </c>
      <c r="Q141">
        <v>231</v>
      </c>
      <c r="R141">
        <v>15</v>
      </c>
    </row>
    <row r="142" spans="1:18" x14ac:dyDescent="0.35">
      <c r="A142">
        <v>7.8478139799549402E+17</v>
      </c>
      <c r="B142" t="s">
        <v>233</v>
      </c>
      <c r="C142">
        <v>491907850</v>
      </c>
      <c r="D142">
        <v>1.47021496964111E+18</v>
      </c>
      <c r="E142" t="s">
        <v>234</v>
      </c>
      <c r="G142" t="s">
        <v>34</v>
      </c>
      <c r="H142">
        <v>42.662979999999997</v>
      </c>
      <c r="I142">
        <v>-73.813609999999997</v>
      </c>
      <c r="J142" t="s">
        <v>31</v>
      </c>
      <c r="K142">
        <v>78</v>
      </c>
      <c r="L142">
        <v>1</v>
      </c>
      <c r="M142">
        <v>62</v>
      </c>
      <c r="N142" s="1">
        <v>46165</v>
      </c>
      <c r="O142">
        <v>1.53</v>
      </c>
      <c r="P142">
        <v>1</v>
      </c>
      <c r="Q142">
        <v>164</v>
      </c>
      <c r="R142">
        <v>42</v>
      </c>
    </row>
    <row r="143" spans="1:18" x14ac:dyDescent="0.35">
      <c r="A143">
        <v>7.8618117905299098E+17</v>
      </c>
      <c r="B143" t="s">
        <v>235</v>
      </c>
      <c r="C143">
        <v>188679144</v>
      </c>
      <c r="D143">
        <v>1.46897784365329E+18</v>
      </c>
      <c r="E143" t="s">
        <v>33</v>
      </c>
      <c r="G143" t="s">
        <v>21</v>
      </c>
      <c r="H143">
        <v>42.656529999999997</v>
      </c>
      <c r="I143">
        <v>-73.762230000000002</v>
      </c>
      <c r="J143" t="s">
        <v>22</v>
      </c>
      <c r="K143">
        <v>81</v>
      </c>
      <c r="L143">
        <v>30</v>
      </c>
      <c r="M143">
        <v>3</v>
      </c>
      <c r="N143" s="1">
        <v>45318</v>
      </c>
      <c r="O143">
        <v>0.09</v>
      </c>
      <c r="P143">
        <v>11</v>
      </c>
      <c r="Q143">
        <v>364</v>
      </c>
      <c r="R143">
        <v>0</v>
      </c>
    </row>
    <row r="144" spans="1:18" x14ac:dyDescent="0.35">
      <c r="A144">
        <v>7.8622833143392205E+17</v>
      </c>
      <c r="B144" t="s">
        <v>236</v>
      </c>
      <c r="C144">
        <v>188679144</v>
      </c>
      <c r="D144">
        <v>1.46897784365329E+18</v>
      </c>
      <c r="E144" t="s">
        <v>33</v>
      </c>
      <c r="G144" t="s">
        <v>25</v>
      </c>
      <c r="H144">
        <v>42.653219999999997</v>
      </c>
      <c r="I144">
        <v>-73.76249</v>
      </c>
      <c r="J144" t="s">
        <v>22</v>
      </c>
      <c r="K144">
        <v>87</v>
      </c>
      <c r="L144">
        <v>30</v>
      </c>
      <c r="M144">
        <v>5</v>
      </c>
      <c r="N144" s="1">
        <v>46022</v>
      </c>
      <c r="O144">
        <v>0.15</v>
      </c>
      <c r="P144">
        <v>11</v>
      </c>
      <c r="Q144">
        <v>354</v>
      </c>
      <c r="R144">
        <v>1</v>
      </c>
    </row>
    <row r="145" spans="1:18" x14ac:dyDescent="0.35">
      <c r="A145">
        <v>7.8631604323957901E+17</v>
      </c>
      <c r="B145" t="s">
        <v>237</v>
      </c>
      <c r="C145">
        <v>253824490</v>
      </c>
      <c r="D145">
        <v>1.4633081751127501E+18</v>
      </c>
      <c r="E145" t="s">
        <v>238</v>
      </c>
      <c r="G145" t="s">
        <v>54</v>
      </c>
      <c r="H145">
        <v>42.659150313354701</v>
      </c>
      <c r="I145">
        <v>-73.754319325089398</v>
      </c>
      <c r="J145" t="s">
        <v>22</v>
      </c>
      <c r="K145">
        <v>149</v>
      </c>
      <c r="L145">
        <v>2</v>
      </c>
      <c r="M145">
        <v>43</v>
      </c>
      <c r="N145" s="1">
        <v>46131</v>
      </c>
      <c r="O145">
        <v>1.05</v>
      </c>
      <c r="P145">
        <v>1</v>
      </c>
      <c r="Q145">
        <v>302</v>
      </c>
      <c r="R145">
        <v>7</v>
      </c>
    </row>
    <row r="146" spans="1:18" x14ac:dyDescent="0.35">
      <c r="A146">
        <v>7.8702382124344205E+17</v>
      </c>
      <c r="B146" t="s">
        <v>239</v>
      </c>
      <c r="C146">
        <v>349460842</v>
      </c>
      <c r="D146">
        <v>1.4696952540817001E+18</v>
      </c>
      <c r="E146" t="s">
        <v>122</v>
      </c>
      <c r="G146" t="s">
        <v>34</v>
      </c>
      <c r="H146">
        <v>42.665300000000002</v>
      </c>
      <c r="I146">
        <v>-73.794300000000007</v>
      </c>
      <c r="J146" t="s">
        <v>22</v>
      </c>
      <c r="K146">
        <v>292</v>
      </c>
      <c r="L146">
        <v>1</v>
      </c>
      <c r="M146">
        <v>150</v>
      </c>
      <c r="N146" s="1">
        <v>46173</v>
      </c>
      <c r="O146">
        <v>3.73</v>
      </c>
      <c r="P146">
        <v>21</v>
      </c>
      <c r="Q146">
        <v>105</v>
      </c>
      <c r="R146">
        <v>38</v>
      </c>
    </row>
    <row r="147" spans="1:18" x14ac:dyDescent="0.35">
      <c r="A147">
        <v>7.9472318968897894E+17</v>
      </c>
      <c r="B147" t="s">
        <v>240</v>
      </c>
      <c r="C147">
        <v>20144241</v>
      </c>
      <c r="D147">
        <v>1.46261196935091E+18</v>
      </c>
      <c r="E147" t="s">
        <v>241</v>
      </c>
      <c r="G147" t="s">
        <v>54</v>
      </c>
      <c r="H147">
        <v>42.672829999999998</v>
      </c>
      <c r="I147">
        <v>-73.773669999999996</v>
      </c>
      <c r="J147" t="s">
        <v>22</v>
      </c>
      <c r="K147">
        <v>137</v>
      </c>
      <c r="L147">
        <v>1</v>
      </c>
      <c r="M147">
        <v>24</v>
      </c>
      <c r="N147" s="1">
        <v>46109</v>
      </c>
      <c r="O147">
        <v>0.65</v>
      </c>
      <c r="P147">
        <v>1</v>
      </c>
      <c r="Q147">
        <v>255</v>
      </c>
      <c r="R147">
        <v>9</v>
      </c>
    </row>
    <row r="148" spans="1:18" x14ac:dyDescent="0.35">
      <c r="A148">
        <v>7.9554166622792602E+17</v>
      </c>
      <c r="B148" t="s">
        <v>242</v>
      </c>
      <c r="C148">
        <v>493882819</v>
      </c>
      <c r="D148">
        <v>1.47022339078785E+18</v>
      </c>
      <c r="E148" t="s">
        <v>243</v>
      </c>
      <c r="G148" t="s">
        <v>51</v>
      </c>
      <c r="H148">
        <v>42.656328999999999</v>
      </c>
      <c r="I148">
        <v>-73.775204799999997</v>
      </c>
      <c r="J148" t="s">
        <v>244</v>
      </c>
      <c r="K148">
        <v>840</v>
      </c>
      <c r="L148">
        <v>1</v>
      </c>
      <c r="M148">
        <v>9</v>
      </c>
      <c r="N148" s="1">
        <v>46156</v>
      </c>
      <c r="O148">
        <v>0.26</v>
      </c>
      <c r="P148">
        <v>6</v>
      </c>
      <c r="Q148">
        <v>141</v>
      </c>
      <c r="R148">
        <v>4</v>
      </c>
    </row>
    <row r="149" spans="1:18" x14ac:dyDescent="0.35">
      <c r="A149">
        <v>7.9623114390400397E+17</v>
      </c>
      <c r="B149" t="s">
        <v>245</v>
      </c>
      <c r="C149">
        <v>493882819</v>
      </c>
      <c r="D149">
        <v>1.47022339078785E+18</v>
      </c>
      <c r="E149" t="s">
        <v>243</v>
      </c>
      <c r="G149" t="s">
        <v>51</v>
      </c>
      <c r="H149">
        <v>42.655819999999999</v>
      </c>
      <c r="I149">
        <v>-73.775409999999994</v>
      </c>
      <c r="J149" t="s">
        <v>31</v>
      </c>
      <c r="K149">
        <v>167</v>
      </c>
      <c r="L149">
        <v>1</v>
      </c>
      <c r="M149">
        <v>12</v>
      </c>
      <c r="N149" s="1">
        <v>45627</v>
      </c>
      <c r="O149">
        <v>0.34</v>
      </c>
      <c r="P149">
        <v>6</v>
      </c>
      <c r="Q149">
        <v>185</v>
      </c>
      <c r="R149">
        <v>0</v>
      </c>
    </row>
    <row r="150" spans="1:18" x14ac:dyDescent="0.35">
      <c r="A150">
        <v>7.9745513222478195E+17</v>
      </c>
      <c r="B150" t="s">
        <v>246</v>
      </c>
      <c r="C150">
        <v>89705052</v>
      </c>
      <c r="D150">
        <v>1.46708659549505E+18</v>
      </c>
      <c r="E150" t="s">
        <v>50</v>
      </c>
      <c r="G150" t="s">
        <v>47</v>
      </c>
      <c r="H150">
        <v>42.657409999999999</v>
      </c>
      <c r="I150">
        <v>-73.780339999999995</v>
      </c>
      <c r="J150" t="s">
        <v>31</v>
      </c>
      <c r="K150">
        <v>69</v>
      </c>
      <c r="L150">
        <v>2</v>
      </c>
      <c r="M150">
        <v>23</v>
      </c>
      <c r="N150" s="1">
        <v>45972</v>
      </c>
      <c r="O150">
        <v>0.56000000000000005</v>
      </c>
      <c r="P150">
        <v>2</v>
      </c>
      <c r="Q150">
        <v>101</v>
      </c>
      <c r="R150">
        <v>9</v>
      </c>
    </row>
    <row r="151" spans="1:18" x14ac:dyDescent="0.35">
      <c r="A151">
        <v>8.0221663479816896E+17</v>
      </c>
      <c r="B151" t="s">
        <v>247</v>
      </c>
      <c r="C151">
        <v>493882819</v>
      </c>
      <c r="D151">
        <v>1.47022339078785E+18</v>
      </c>
      <c r="E151" t="s">
        <v>243</v>
      </c>
      <c r="G151" t="s">
        <v>25</v>
      </c>
      <c r="H151">
        <v>42.657510000000002</v>
      </c>
      <c r="I151">
        <v>-73.774090000000001</v>
      </c>
      <c r="J151" t="s">
        <v>31</v>
      </c>
      <c r="K151">
        <v>190</v>
      </c>
      <c r="L151">
        <v>1</v>
      </c>
      <c r="M151">
        <v>6</v>
      </c>
      <c r="N151" s="1">
        <v>45578</v>
      </c>
      <c r="O151">
        <v>0.17</v>
      </c>
      <c r="P151">
        <v>6</v>
      </c>
      <c r="Q151">
        <v>171</v>
      </c>
      <c r="R151">
        <v>0</v>
      </c>
    </row>
    <row r="152" spans="1:18" x14ac:dyDescent="0.35">
      <c r="A152">
        <v>8.0360489747967898E+17</v>
      </c>
      <c r="B152" t="s">
        <v>248</v>
      </c>
      <c r="C152">
        <v>21886921</v>
      </c>
      <c r="D152">
        <v>1.4631663324308301E+18</v>
      </c>
      <c r="E152" t="s">
        <v>166</v>
      </c>
      <c r="G152" t="s">
        <v>34</v>
      </c>
      <c r="H152">
        <v>42.666910000000001</v>
      </c>
      <c r="I152">
        <v>-73.793379999999999</v>
      </c>
      <c r="J152" t="s">
        <v>22</v>
      </c>
      <c r="L152">
        <v>14</v>
      </c>
      <c r="M152">
        <v>7</v>
      </c>
      <c r="N152" s="1">
        <v>46142</v>
      </c>
      <c r="O152">
        <v>0.19</v>
      </c>
      <c r="P152">
        <v>1</v>
      </c>
      <c r="Q152">
        <v>2</v>
      </c>
      <c r="R152">
        <v>3</v>
      </c>
    </row>
    <row r="153" spans="1:18" x14ac:dyDescent="0.35">
      <c r="A153">
        <v>8.0381439719063194E+17</v>
      </c>
      <c r="B153" t="s">
        <v>249</v>
      </c>
      <c r="C153">
        <v>493882819</v>
      </c>
      <c r="D153">
        <v>1.47022339078785E+18</v>
      </c>
      <c r="E153" t="s">
        <v>243</v>
      </c>
      <c r="G153" t="s">
        <v>51</v>
      </c>
      <c r="H153">
        <v>42.656328999999999</v>
      </c>
      <c r="I153">
        <v>-73.775205</v>
      </c>
      <c r="J153" t="s">
        <v>31</v>
      </c>
      <c r="K153">
        <v>179</v>
      </c>
      <c r="L153">
        <v>1</v>
      </c>
      <c r="M153">
        <v>6</v>
      </c>
      <c r="N153" s="1">
        <v>45576</v>
      </c>
      <c r="O153">
        <v>0.17</v>
      </c>
      <c r="P153">
        <v>6</v>
      </c>
      <c r="Q153">
        <v>181</v>
      </c>
      <c r="R153">
        <v>0</v>
      </c>
    </row>
    <row r="154" spans="1:18" x14ac:dyDescent="0.35">
      <c r="A154">
        <v>8.0386798602396595E+17</v>
      </c>
      <c r="B154" t="s">
        <v>250</v>
      </c>
      <c r="C154">
        <v>493882819</v>
      </c>
      <c r="D154">
        <v>1.47022339078785E+18</v>
      </c>
      <c r="E154" t="s">
        <v>243</v>
      </c>
      <c r="G154" t="s">
        <v>51</v>
      </c>
      <c r="H154">
        <v>42.656328999999999</v>
      </c>
      <c r="I154">
        <v>-73.775205</v>
      </c>
      <c r="J154" t="s">
        <v>31</v>
      </c>
      <c r="K154">
        <v>167</v>
      </c>
      <c r="L154">
        <v>1</v>
      </c>
      <c r="M154">
        <v>10</v>
      </c>
      <c r="N154" s="1">
        <v>45896</v>
      </c>
      <c r="O154">
        <v>0.28000000000000003</v>
      </c>
      <c r="P154">
        <v>6</v>
      </c>
      <c r="Q154">
        <v>187</v>
      </c>
      <c r="R154">
        <v>1</v>
      </c>
    </row>
    <row r="155" spans="1:18" x14ac:dyDescent="0.35">
      <c r="A155">
        <v>8.0952469830274202E+17</v>
      </c>
      <c r="B155" t="s">
        <v>251</v>
      </c>
      <c r="C155">
        <v>172658781</v>
      </c>
      <c r="D155">
        <v>1.4686758490541901E+18</v>
      </c>
      <c r="E155" t="s">
        <v>252</v>
      </c>
      <c r="G155" t="s">
        <v>51</v>
      </c>
      <c r="H155">
        <v>42.656139715194897</v>
      </c>
      <c r="I155">
        <v>-73.792122378945294</v>
      </c>
      <c r="J155" t="s">
        <v>22</v>
      </c>
      <c r="K155">
        <v>110</v>
      </c>
      <c r="L155">
        <v>30</v>
      </c>
      <c r="M155">
        <v>3</v>
      </c>
      <c r="N155" s="1">
        <v>46166</v>
      </c>
      <c r="O155">
        <v>0.22</v>
      </c>
      <c r="P155">
        <v>2</v>
      </c>
      <c r="Q155">
        <v>161</v>
      </c>
      <c r="R155">
        <v>2</v>
      </c>
    </row>
    <row r="156" spans="1:18" x14ac:dyDescent="0.35">
      <c r="A156">
        <v>8.1364007036166502E+17</v>
      </c>
      <c r="B156" t="s">
        <v>253</v>
      </c>
      <c r="C156">
        <v>116935236</v>
      </c>
      <c r="D156">
        <v>1.46291058270339E+18</v>
      </c>
      <c r="E156" t="s">
        <v>254</v>
      </c>
      <c r="G156" t="s">
        <v>68</v>
      </c>
      <c r="H156">
        <v>42.671439999999997</v>
      </c>
      <c r="I156">
        <v>-73.790329999999997</v>
      </c>
      <c r="J156" t="s">
        <v>31</v>
      </c>
      <c r="K156">
        <v>63</v>
      </c>
      <c r="L156">
        <v>5</v>
      </c>
      <c r="M156">
        <v>24</v>
      </c>
      <c r="N156" s="1">
        <v>46187</v>
      </c>
      <c r="O156">
        <v>0.69</v>
      </c>
      <c r="P156">
        <v>5</v>
      </c>
      <c r="Q156">
        <v>360</v>
      </c>
      <c r="R156">
        <v>7</v>
      </c>
    </row>
    <row r="157" spans="1:18" x14ac:dyDescent="0.35">
      <c r="A157">
        <v>8.1608519365979699E+17</v>
      </c>
      <c r="B157" t="s">
        <v>255</v>
      </c>
      <c r="C157">
        <v>37769478</v>
      </c>
      <c r="D157">
        <v>1.4655652968529201E+18</v>
      </c>
      <c r="E157" t="s">
        <v>182</v>
      </c>
      <c r="G157" t="s">
        <v>25</v>
      </c>
      <c r="H157">
        <v>42.65258</v>
      </c>
      <c r="I157">
        <v>-73.769170000000003</v>
      </c>
      <c r="J157" t="s">
        <v>22</v>
      </c>
      <c r="K157">
        <v>153</v>
      </c>
      <c r="L157">
        <v>1</v>
      </c>
      <c r="M157">
        <v>59</v>
      </c>
      <c r="N157" s="1">
        <v>46159</v>
      </c>
      <c r="O157">
        <v>1.44</v>
      </c>
      <c r="P157">
        <v>16</v>
      </c>
      <c r="Q157">
        <v>311</v>
      </c>
      <c r="R157">
        <v>19</v>
      </c>
    </row>
    <row r="158" spans="1:18" x14ac:dyDescent="0.35">
      <c r="A158">
        <v>8.2156634226745203E+17</v>
      </c>
      <c r="B158" t="s">
        <v>256</v>
      </c>
      <c r="C158">
        <v>177073982</v>
      </c>
      <c r="D158">
        <v>1.4630669137886001E+18</v>
      </c>
      <c r="E158" t="s">
        <v>257</v>
      </c>
      <c r="G158" t="s">
        <v>34</v>
      </c>
      <c r="H158">
        <v>42.661090000000002</v>
      </c>
      <c r="I158">
        <v>-73.804789999999997</v>
      </c>
      <c r="J158" t="s">
        <v>31</v>
      </c>
      <c r="K158">
        <v>13</v>
      </c>
      <c r="L158">
        <v>90</v>
      </c>
      <c r="M158">
        <v>3</v>
      </c>
      <c r="N158" s="1">
        <v>45260</v>
      </c>
      <c r="O158">
        <v>7.0000000000000007E-2</v>
      </c>
      <c r="P158">
        <v>2</v>
      </c>
      <c r="Q158">
        <v>294</v>
      </c>
      <c r="R158">
        <v>0</v>
      </c>
    </row>
    <row r="159" spans="1:18" x14ac:dyDescent="0.35">
      <c r="A159">
        <v>8.2630177587125696E+17</v>
      </c>
      <c r="B159" t="s">
        <v>258</v>
      </c>
      <c r="C159">
        <v>484673863</v>
      </c>
      <c r="D159">
        <v>1.46381230158115E+18</v>
      </c>
      <c r="E159" t="s">
        <v>259</v>
      </c>
      <c r="G159" t="s">
        <v>51</v>
      </c>
      <c r="H159">
        <v>42.655006189125302</v>
      </c>
      <c r="I159">
        <v>-73.775701560079995</v>
      </c>
      <c r="J159" t="s">
        <v>22</v>
      </c>
      <c r="K159">
        <v>236</v>
      </c>
      <c r="L159">
        <v>1</v>
      </c>
      <c r="M159">
        <v>80</v>
      </c>
      <c r="N159" s="1">
        <v>46179</v>
      </c>
      <c r="O159">
        <v>1.98</v>
      </c>
      <c r="P159">
        <v>3</v>
      </c>
      <c r="Q159">
        <v>355</v>
      </c>
      <c r="R159">
        <v>45</v>
      </c>
    </row>
    <row r="160" spans="1:18" x14ac:dyDescent="0.35">
      <c r="A160">
        <v>8.3112293776801702E+17</v>
      </c>
      <c r="B160" t="s">
        <v>260</v>
      </c>
      <c r="C160">
        <v>210596861</v>
      </c>
      <c r="D160">
        <v>1.46909876028832E+18</v>
      </c>
      <c r="E160" t="s">
        <v>261</v>
      </c>
      <c r="G160" t="s">
        <v>37</v>
      </c>
      <c r="H160">
        <v>42.670760000000001</v>
      </c>
      <c r="I160">
        <v>-73.826120000000003</v>
      </c>
      <c r="J160" t="s">
        <v>22</v>
      </c>
      <c r="K160">
        <v>363</v>
      </c>
      <c r="L160">
        <v>2</v>
      </c>
      <c r="M160">
        <v>140</v>
      </c>
      <c r="N160" s="1">
        <v>46187</v>
      </c>
      <c r="O160">
        <v>3.52</v>
      </c>
      <c r="P160">
        <v>1</v>
      </c>
      <c r="Q160">
        <v>321</v>
      </c>
      <c r="R160">
        <v>35</v>
      </c>
    </row>
    <row r="161" spans="1:18" x14ac:dyDescent="0.35">
      <c r="A161">
        <v>8.4152438251831194E+17</v>
      </c>
      <c r="B161" t="s">
        <v>262</v>
      </c>
      <c r="C161">
        <v>462042479</v>
      </c>
      <c r="D161">
        <v>1.4700815622734001E+18</v>
      </c>
      <c r="E161" t="s">
        <v>263</v>
      </c>
      <c r="G161" t="s">
        <v>25</v>
      </c>
      <c r="H161">
        <v>42.660080000000001</v>
      </c>
      <c r="I161">
        <v>-73.769769999999994</v>
      </c>
      <c r="J161" t="s">
        <v>22</v>
      </c>
      <c r="K161">
        <v>137</v>
      </c>
      <c r="L161">
        <v>3</v>
      </c>
      <c r="M161">
        <v>6</v>
      </c>
      <c r="N161" s="1">
        <v>45482</v>
      </c>
      <c r="O161">
        <v>0.18</v>
      </c>
      <c r="P161">
        <v>2</v>
      </c>
      <c r="Q161">
        <v>362</v>
      </c>
      <c r="R161">
        <v>0</v>
      </c>
    </row>
    <row r="162" spans="1:18" x14ac:dyDescent="0.35">
      <c r="A162">
        <v>8.4152443390935194E+17</v>
      </c>
      <c r="B162" t="s">
        <v>264</v>
      </c>
      <c r="C162">
        <v>462042479</v>
      </c>
      <c r="D162">
        <v>1.4700815622734001E+18</v>
      </c>
      <c r="E162" t="s">
        <v>263</v>
      </c>
      <c r="G162" t="s">
        <v>25</v>
      </c>
      <c r="H162">
        <v>42.659869999999998</v>
      </c>
      <c r="I162">
        <v>-73.770250000000004</v>
      </c>
      <c r="J162" t="s">
        <v>22</v>
      </c>
      <c r="K162">
        <v>137</v>
      </c>
      <c r="L162">
        <v>3</v>
      </c>
      <c r="M162">
        <v>12</v>
      </c>
      <c r="N162" s="1">
        <v>45263</v>
      </c>
      <c r="O162">
        <v>0.33</v>
      </c>
      <c r="P162">
        <v>2</v>
      </c>
      <c r="Q162">
        <v>357</v>
      </c>
      <c r="R162">
        <v>0</v>
      </c>
    </row>
    <row r="163" spans="1:18" x14ac:dyDescent="0.35">
      <c r="A163">
        <v>8.4348145637984E+17</v>
      </c>
      <c r="B163" t="s">
        <v>265</v>
      </c>
      <c r="C163">
        <v>188679144</v>
      </c>
      <c r="D163">
        <v>1.46897784365329E+18</v>
      </c>
      <c r="E163" t="s">
        <v>33</v>
      </c>
      <c r="G163" t="s">
        <v>25</v>
      </c>
      <c r="H163">
        <v>42.654829999999997</v>
      </c>
      <c r="I163">
        <v>-73.763530000000003</v>
      </c>
      <c r="J163" t="s">
        <v>22</v>
      </c>
      <c r="K163">
        <v>114</v>
      </c>
      <c r="L163">
        <v>14</v>
      </c>
      <c r="M163">
        <v>2</v>
      </c>
      <c r="N163" s="1">
        <v>45173</v>
      </c>
      <c r="O163">
        <v>0.05</v>
      </c>
      <c r="P163">
        <v>11</v>
      </c>
      <c r="Q163">
        <v>364</v>
      </c>
      <c r="R163">
        <v>0</v>
      </c>
    </row>
    <row r="164" spans="1:18" x14ac:dyDescent="0.35">
      <c r="A164">
        <v>8.4596019340994701E+17</v>
      </c>
      <c r="B164" t="s">
        <v>266</v>
      </c>
      <c r="C164">
        <v>268741708</v>
      </c>
      <c r="D164">
        <v>1.46942037108429E+18</v>
      </c>
      <c r="E164" t="s">
        <v>267</v>
      </c>
      <c r="G164" t="s">
        <v>117</v>
      </c>
      <c r="H164">
        <v>42.635039999999996</v>
      </c>
      <c r="I164">
        <v>-73.798330000000007</v>
      </c>
      <c r="J164" t="s">
        <v>22</v>
      </c>
      <c r="K164">
        <v>587</v>
      </c>
      <c r="L164">
        <v>1</v>
      </c>
      <c r="M164">
        <v>160</v>
      </c>
      <c r="N164" s="1">
        <v>46174</v>
      </c>
      <c r="O164">
        <v>4.07</v>
      </c>
      <c r="P164">
        <v>1</v>
      </c>
      <c r="Q164">
        <v>134</v>
      </c>
      <c r="R164">
        <v>44</v>
      </c>
    </row>
    <row r="165" spans="1:18" x14ac:dyDescent="0.35">
      <c r="A165">
        <v>8.4658621167380595E+17</v>
      </c>
      <c r="B165" t="s">
        <v>268</v>
      </c>
      <c r="C165">
        <v>49372011</v>
      </c>
      <c r="D165">
        <v>1.4657527440528799E+18</v>
      </c>
      <c r="E165" t="s">
        <v>269</v>
      </c>
      <c r="G165" t="s">
        <v>270</v>
      </c>
      <c r="H165">
        <v>42.673360000000002</v>
      </c>
      <c r="I165">
        <v>-73.786190000000005</v>
      </c>
      <c r="J165" t="s">
        <v>22</v>
      </c>
      <c r="K165">
        <v>266</v>
      </c>
      <c r="L165">
        <v>2</v>
      </c>
      <c r="M165">
        <v>21</v>
      </c>
      <c r="N165" s="1">
        <v>46159</v>
      </c>
      <c r="O165">
        <v>0.54</v>
      </c>
      <c r="P165">
        <v>2</v>
      </c>
      <c r="Q165">
        <v>173</v>
      </c>
      <c r="R165">
        <v>2</v>
      </c>
    </row>
    <row r="166" spans="1:18" x14ac:dyDescent="0.35">
      <c r="A166">
        <v>8.4946017924679398E+17</v>
      </c>
      <c r="B166" t="s">
        <v>271</v>
      </c>
      <c r="C166">
        <v>1761578</v>
      </c>
      <c r="D166">
        <v>1.4625777412285199E+18</v>
      </c>
      <c r="E166" t="s">
        <v>272</v>
      </c>
      <c r="G166" t="s">
        <v>25</v>
      </c>
      <c r="H166">
        <v>42.654319999999998</v>
      </c>
      <c r="I166">
        <v>-73.765309999999999</v>
      </c>
      <c r="J166" t="s">
        <v>22</v>
      </c>
      <c r="K166">
        <v>236</v>
      </c>
      <c r="L166">
        <v>3</v>
      </c>
      <c r="M166">
        <v>2</v>
      </c>
      <c r="N166" s="1">
        <v>45705</v>
      </c>
      <c r="O166">
        <v>7.0000000000000007E-2</v>
      </c>
      <c r="P166">
        <v>2</v>
      </c>
      <c r="Q166">
        <v>233</v>
      </c>
      <c r="R166">
        <v>0</v>
      </c>
    </row>
    <row r="167" spans="1:18" x14ac:dyDescent="0.35">
      <c r="A167">
        <v>8.5017347010583296E+17</v>
      </c>
      <c r="B167" t="s">
        <v>273</v>
      </c>
      <c r="C167">
        <v>120815848</v>
      </c>
      <c r="D167">
        <v>1.4682285257612101E+18</v>
      </c>
      <c r="E167" t="s">
        <v>274</v>
      </c>
      <c r="G167" t="s">
        <v>28</v>
      </c>
      <c r="H167">
        <v>42.644599999999997</v>
      </c>
      <c r="I167">
        <v>-73.758849999999995</v>
      </c>
      <c r="J167" t="s">
        <v>31</v>
      </c>
      <c r="K167">
        <v>160</v>
      </c>
      <c r="L167">
        <v>1</v>
      </c>
      <c r="M167">
        <v>233</v>
      </c>
      <c r="N167" s="1">
        <v>46187</v>
      </c>
      <c r="O167">
        <v>5.99</v>
      </c>
      <c r="P167">
        <v>1</v>
      </c>
      <c r="Q167">
        <v>330</v>
      </c>
      <c r="R167">
        <v>57</v>
      </c>
    </row>
    <row r="168" spans="1:18" x14ac:dyDescent="0.35">
      <c r="A168">
        <v>8.5065382013373798E+17</v>
      </c>
      <c r="B168" t="s">
        <v>275</v>
      </c>
      <c r="C168">
        <v>20536619</v>
      </c>
      <c r="D168">
        <v>1.4626135294231501E+18</v>
      </c>
      <c r="E168" t="s">
        <v>276</v>
      </c>
      <c r="G168" t="s">
        <v>68</v>
      </c>
      <c r="H168">
        <v>42.671770000000002</v>
      </c>
      <c r="I168">
        <v>-73.794640000000001</v>
      </c>
      <c r="J168" t="s">
        <v>31</v>
      </c>
      <c r="K168">
        <v>97</v>
      </c>
      <c r="L168">
        <v>4</v>
      </c>
      <c r="M168">
        <v>18</v>
      </c>
      <c r="N168" s="1">
        <v>46066</v>
      </c>
      <c r="O168">
        <v>0.51</v>
      </c>
      <c r="P168">
        <v>13</v>
      </c>
      <c r="Q168">
        <v>75</v>
      </c>
      <c r="R168">
        <v>2</v>
      </c>
    </row>
    <row r="169" spans="1:18" x14ac:dyDescent="0.35">
      <c r="A169">
        <v>8.5798193415902694E+17</v>
      </c>
      <c r="B169" t="s">
        <v>277</v>
      </c>
      <c r="C169">
        <v>60293220</v>
      </c>
      <c r="D169">
        <v>1.4667412397954501E+18</v>
      </c>
      <c r="E169" t="s">
        <v>166</v>
      </c>
      <c r="G169" t="s">
        <v>21</v>
      </c>
      <c r="H169">
        <v>42.658169999999998</v>
      </c>
      <c r="I169">
        <v>-73.749350000000007</v>
      </c>
      <c r="J169" t="s">
        <v>22</v>
      </c>
      <c r="K169">
        <v>137</v>
      </c>
      <c r="L169">
        <v>3</v>
      </c>
      <c r="M169">
        <v>30</v>
      </c>
      <c r="N169" s="1">
        <v>46167</v>
      </c>
      <c r="O169">
        <v>0.8</v>
      </c>
      <c r="P169">
        <v>3</v>
      </c>
      <c r="Q169">
        <v>339</v>
      </c>
      <c r="R169">
        <v>8</v>
      </c>
    </row>
    <row r="170" spans="1:18" x14ac:dyDescent="0.35">
      <c r="A170">
        <v>8.7045720991896704E+17</v>
      </c>
      <c r="B170" t="s">
        <v>278</v>
      </c>
      <c r="C170">
        <v>177073982</v>
      </c>
      <c r="D170">
        <v>1.4630669137886001E+18</v>
      </c>
      <c r="E170" t="s">
        <v>257</v>
      </c>
      <c r="G170" t="s">
        <v>34</v>
      </c>
      <c r="H170">
        <v>42.661279999999998</v>
      </c>
      <c r="I170">
        <v>-73.805480000000003</v>
      </c>
      <c r="J170" t="s">
        <v>31</v>
      </c>
      <c r="K170">
        <v>13</v>
      </c>
      <c r="L170">
        <v>90</v>
      </c>
      <c r="M170">
        <v>4</v>
      </c>
      <c r="N170" s="1">
        <v>45353</v>
      </c>
      <c r="O170">
        <v>0.12</v>
      </c>
      <c r="P170">
        <v>2</v>
      </c>
      <c r="Q170">
        <v>203</v>
      </c>
      <c r="R170">
        <v>0</v>
      </c>
    </row>
    <row r="171" spans="1:18" x14ac:dyDescent="0.35">
      <c r="A171">
        <v>8.8123195428626406E+17</v>
      </c>
      <c r="B171" t="s">
        <v>279</v>
      </c>
      <c r="C171">
        <v>37769478</v>
      </c>
      <c r="D171">
        <v>1.4655652968529201E+18</v>
      </c>
      <c r="E171" t="s">
        <v>182</v>
      </c>
      <c r="G171" t="s">
        <v>25</v>
      </c>
      <c r="H171">
        <v>42.653790000000001</v>
      </c>
      <c r="I171">
        <v>-73.769009999999994</v>
      </c>
      <c r="J171" t="s">
        <v>22</v>
      </c>
      <c r="K171">
        <v>144</v>
      </c>
      <c r="L171">
        <v>1</v>
      </c>
      <c r="M171">
        <v>31</v>
      </c>
      <c r="N171" s="1">
        <v>46159</v>
      </c>
      <c r="O171">
        <v>0.81</v>
      </c>
      <c r="P171">
        <v>16</v>
      </c>
      <c r="Q171">
        <v>356</v>
      </c>
      <c r="R171">
        <v>11</v>
      </c>
    </row>
    <row r="172" spans="1:18" x14ac:dyDescent="0.35">
      <c r="A172">
        <v>8.8222956134361894E+17</v>
      </c>
      <c r="B172" t="s">
        <v>280</v>
      </c>
      <c r="C172">
        <v>512736975</v>
      </c>
      <c r="D172">
        <v>1.47030596329886E+18</v>
      </c>
      <c r="E172" t="s">
        <v>281</v>
      </c>
      <c r="G172" t="s">
        <v>47</v>
      </c>
      <c r="H172">
        <v>42.659973299999997</v>
      </c>
      <c r="I172">
        <v>-73.774743299999997</v>
      </c>
      <c r="J172" t="s">
        <v>22</v>
      </c>
      <c r="K172">
        <v>124</v>
      </c>
      <c r="L172">
        <v>1</v>
      </c>
      <c r="M172">
        <v>79</v>
      </c>
      <c r="N172" s="1">
        <v>46131</v>
      </c>
      <c r="O172">
        <v>2.1</v>
      </c>
      <c r="P172">
        <v>2</v>
      </c>
      <c r="Q172">
        <v>206</v>
      </c>
      <c r="R172">
        <v>16</v>
      </c>
    </row>
    <row r="173" spans="1:18" x14ac:dyDescent="0.35">
      <c r="A173">
        <v>8.8716781123727104E+17</v>
      </c>
      <c r="B173" t="s">
        <v>282</v>
      </c>
      <c r="C173">
        <v>459472925</v>
      </c>
      <c r="D173">
        <v>1.47006885925906E+18</v>
      </c>
      <c r="E173" t="s">
        <v>283</v>
      </c>
      <c r="G173" t="s">
        <v>21</v>
      </c>
      <c r="H173">
        <v>42.662460000000003</v>
      </c>
      <c r="I173">
        <v>-73.76576</v>
      </c>
      <c r="J173" t="s">
        <v>31</v>
      </c>
      <c r="K173">
        <v>49</v>
      </c>
      <c r="L173">
        <v>7</v>
      </c>
      <c r="M173">
        <v>32</v>
      </c>
      <c r="N173" s="1">
        <v>45968</v>
      </c>
      <c r="O173">
        <v>0.87</v>
      </c>
      <c r="P173">
        <v>2</v>
      </c>
      <c r="Q173">
        <v>364</v>
      </c>
      <c r="R173">
        <v>5</v>
      </c>
    </row>
    <row r="174" spans="1:18" x14ac:dyDescent="0.35">
      <c r="A174">
        <v>8.8717906168120205E+17</v>
      </c>
      <c r="B174" t="s">
        <v>284</v>
      </c>
      <c r="C174">
        <v>459472925</v>
      </c>
      <c r="D174">
        <v>1.47006885925906E+18</v>
      </c>
      <c r="E174" t="s">
        <v>283</v>
      </c>
      <c r="G174" t="s">
        <v>21</v>
      </c>
      <c r="H174">
        <v>42.662877100000003</v>
      </c>
      <c r="I174">
        <v>-73.765340299999906</v>
      </c>
      <c r="J174" t="s">
        <v>31</v>
      </c>
      <c r="K174">
        <v>50</v>
      </c>
      <c r="L174">
        <v>7</v>
      </c>
      <c r="M174">
        <v>30</v>
      </c>
      <c r="N174" s="1">
        <v>45816</v>
      </c>
      <c r="O174">
        <v>0.8</v>
      </c>
      <c r="P174">
        <v>2</v>
      </c>
      <c r="Q174">
        <v>312</v>
      </c>
      <c r="R174">
        <v>0</v>
      </c>
    </row>
    <row r="175" spans="1:18" x14ac:dyDescent="0.35">
      <c r="A175">
        <v>8.8885920485138099E+17</v>
      </c>
      <c r="B175" t="s">
        <v>285</v>
      </c>
      <c r="C175">
        <v>121680792</v>
      </c>
      <c r="D175">
        <v>1.46823542108925E+18</v>
      </c>
      <c r="E175" t="s">
        <v>286</v>
      </c>
      <c r="G175" t="s">
        <v>21</v>
      </c>
      <c r="H175">
        <v>42.657299999999999</v>
      </c>
      <c r="I175">
        <v>-73.752099999999999</v>
      </c>
      <c r="J175" t="s">
        <v>22</v>
      </c>
      <c r="K175">
        <v>190</v>
      </c>
      <c r="L175">
        <v>2</v>
      </c>
      <c r="M175">
        <v>19</v>
      </c>
      <c r="N175" s="1">
        <v>46173</v>
      </c>
      <c r="O175">
        <v>0.51</v>
      </c>
      <c r="P175">
        <v>4</v>
      </c>
      <c r="Q175">
        <v>354</v>
      </c>
      <c r="R175">
        <v>3</v>
      </c>
    </row>
    <row r="176" spans="1:18" x14ac:dyDescent="0.35">
      <c r="A176">
        <v>8.9874386724085094E+17</v>
      </c>
      <c r="B176" t="s">
        <v>287</v>
      </c>
      <c r="C176">
        <v>516414095</v>
      </c>
      <c r="D176">
        <v>1.47032314878079E+18</v>
      </c>
      <c r="E176" t="s">
        <v>288</v>
      </c>
      <c r="G176" t="s">
        <v>47</v>
      </c>
      <c r="H176">
        <v>42.660870000000003</v>
      </c>
      <c r="I176">
        <v>-73.786550000000005</v>
      </c>
      <c r="J176" t="s">
        <v>22</v>
      </c>
      <c r="K176">
        <v>307</v>
      </c>
      <c r="L176">
        <v>2</v>
      </c>
      <c r="M176">
        <v>66</v>
      </c>
      <c r="N176" s="1">
        <v>46180</v>
      </c>
      <c r="O176">
        <v>1.81</v>
      </c>
      <c r="P176">
        <v>1</v>
      </c>
      <c r="Q176">
        <v>245</v>
      </c>
      <c r="R176">
        <v>13</v>
      </c>
    </row>
    <row r="177" spans="1:18" x14ac:dyDescent="0.35">
      <c r="A177">
        <v>9.0216621606082406E+17</v>
      </c>
      <c r="B177" t="s">
        <v>289</v>
      </c>
      <c r="C177">
        <v>47625981</v>
      </c>
      <c r="D177">
        <v>1.46270726328816E+18</v>
      </c>
      <c r="E177" t="s">
        <v>132</v>
      </c>
      <c r="G177" t="s">
        <v>64</v>
      </c>
      <c r="H177">
        <v>42.647869999999998</v>
      </c>
      <c r="I177">
        <v>-73.767070000000004</v>
      </c>
      <c r="J177" t="s">
        <v>22</v>
      </c>
      <c r="K177">
        <v>257</v>
      </c>
      <c r="L177">
        <v>1</v>
      </c>
      <c r="M177">
        <v>65</v>
      </c>
      <c r="N177" s="1">
        <v>46172</v>
      </c>
      <c r="O177">
        <v>1.78</v>
      </c>
      <c r="P177">
        <v>16</v>
      </c>
      <c r="Q177">
        <v>182</v>
      </c>
      <c r="R177">
        <v>15</v>
      </c>
    </row>
    <row r="178" spans="1:18" x14ac:dyDescent="0.35">
      <c r="A178">
        <v>9.0232680362785894E+17</v>
      </c>
      <c r="B178" t="s">
        <v>290</v>
      </c>
      <c r="C178">
        <v>349460842</v>
      </c>
      <c r="D178">
        <v>1.4696952540817001E+18</v>
      </c>
      <c r="E178" t="s">
        <v>122</v>
      </c>
      <c r="G178" t="s">
        <v>47</v>
      </c>
      <c r="H178">
        <v>42.661740000000002</v>
      </c>
      <c r="I178">
        <v>-73.783249999999995</v>
      </c>
      <c r="J178" t="s">
        <v>31</v>
      </c>
      <c r="K178">
        <v>46</v>
      </c>
      <c r="L178">
        <v>30</v>
      </c>
      <c r="M178">
        <v>2</v>
      </c>
      <c r="N178" s="1">
        <v>46125</v>
      </c>
      <c r="O178">
        <v>0.36</v>
      </c>
      <c r="P178">
        <v>21</v>
      </c>
      <c r="Q178">
        <v>325</v>
      </c>
      <c r="R178">
        <v>2</v>
      </c>
    </row>
    <row r="179" spans="1:18" x14ac:dyDescent="0.35">
      <c r="A179">
        <v>9.0439296063959706E+17</v>
      </c>
      <c r="B179" t="s">
        <v>291</v>
      </c>
      <c r="C179">
        <v>4259750</v>
      </c>
      <c r="D179">
        <v>1.4625345292948301E+18</v>
      </c>
      <c r="E179" t="s">
        <v>36</v>
      </c>
      <c r="G179" t="s">
        <v>68</v>
      </c>
      <c r="H179">
        <v>42.665295899999997</v>
      </c>
      <c r="I179">
        <v>-73.786877799999999</v>
      </c>
      <c r="J179" t="s">
        <v>22</v>
      </c>
      <c r="K179">
        <v>196</v>
      </c>
      <c r="L179">
        <v>1</v>
      </c>
      <c r="M179">
        <v>23</v>
      </c>
      <c r="N179" s="1">
        <v>46005</v>
      </c>
      <c r="O179">
        <v>0.63</v>
      </c>
      <c r="P179">
        <v>8</v>
      </c>
      <c r="Q179">
        <v>264</v>
      </c>
      <c r="R179">
        <v>4</v>
      </c>
    </row>
    <row r="180" spans="1:18" x14ac:dyDescent="0.35">
      <c r="A180">
        <v>9.0500713141904397E+17</v>
      </c>
      <c r="B180" t="s">
        <v>292</v>
      </c>
      <c r="C180">
        <v>349460842</v>
      </c>
      <c r="D180">
        <v>1.4696952540817001E+18</v>
      </c>
      <c r="E180" t="s">
        <v>122</v>
      </c>
      <c r="G180" t="s">
        <v>47</v>
      </c>
      <c r="H180">
        <v>42.662170000000003</v>
      </c>
      <c r="I180">
        <v>-73.782989999999998</v>
      </c>
      <c r="J180" t="s">
        <v>22</v>
      </c>
      <c r="K180">
        <v>300</v>
      </c>
      <c r="L180">
        <v>1</v>
      </c>
      <c r="M180">
        <v>108</v>
      </c>
      <c r="N180" s="1">
        <v>46174</v>
      </c>
      <c r="O180">
        <v>3.03</v>
      </c>
      <c r="P180">
        <v>21</v>
      </c>
      <c r="Q180">
        <v>352</v>
      </c>
      <c r="R180">
        <v>40</v>
      </c>
    </row>
    <row r="181" spans="1:18" x14ac:dyDescent="0.35">
      <c r="A181">
        <v>9.1698372375525606E+17</v>
      </c>
      <c r="B181" t="s">
        <v>293</v>
      </c>
      <c r="C181">
        <v>283643924</v>
      </c>
      <c r="D181">
        <v>1.46948602204225E+18</v>
      </c>
      <c r="E181" t="s">
        <v>294</v>
      </c>
      <c r="G181" t="s">
        <v>34</v>
      </c>
      <c r="H181">
        <v>42.658720000000002</v>
      </c>
      <c r="I181">
        <v>-73.795550000000006</v>
      </c>
      <c r="J181" t="s">
        <v>22</v>
      </c>
      <c r="K181">
        <v>73</v>
      </c>
      <c r="L181">
        <v>28</v>
      </c>
      <c r="M181">
        <v>7</v>
      </c>
      <c r="N181" s="1">
        <v>46087</v>
      </c>
      <c r="O181">
        <v>0.2</v>
      </c>
      <c r="P181">
        <v>1</v>
      </c>
      <c r="Q181">
        <v>273</v>
      </c>
      <c r="R181">
        <v>3</v>
      </c>
    </row>
    <row r="182" spans="1:18" x14ac:dyDescent="0.35">
      <c r="A182">
        <v>9.1751061391421901E+17</v>
      </c>
      <c r="B182" t="s">
        <v>295</v>
      </c>
      <c r="C182">
        <v>6203319</v>
      </c>
      <c r="D182">
        <v>1.4627005232227999E+18</v>
      </c>
      <c r="E182" t="s">
        <v>230</v>
      </c>
      <c r="G182" t="s">
        <v>47</v>
      </c>
      <c r="H182">
        <v>42.662610000000001</v>
      </c>
      <c r="I182">
        <v>-73.791579999999996</v>
      </c>
      <c r="J182" t="s">
        <v>31</v>
      </c>
      <c r="K182">
        <v>92</v>
      </c>
      <c r="L182">
        <v>1</v>
      </c>
      <c r="M182">
        <v>18</v>
      </c>
      <c r="N182" s="1">
        <v>46068</v>
      </c>
      <c r="O182">
        <v>0.5</v>
      </c>
      <c r="P182">
        <v>2</v>
      </c>
      <c r="Q182">
        <v>36</v>
      </c>
      <c r="R182">
        <v>8</v>
      </c>
    </row>
    <row r="183" spans="1:18" x14ac:dyDescent="0.35">
      <c r="A183">
        <v>9.1905550631095501E+17</v>
      </c>
      <c r="B183" t="s">
        <v>296</v>
      </c>
      <c r="C183">
        <v>502751555</v>
      </c>
      <c r="D183">
        <v>1.4702602882846899E+18</v>
      </c>
      <c r="E183" t="s">
        <v>297</v>
      </c>
      <c r="G183" t="s">
        <v>54</v>
      </c>
      <c r="H183">
        <v>42.672919999999998</v>
      </c>
      <c r="I183">
        <v>-73.777600000000007</v>
      </c>
      <c r="J183" t="s">
        <v>31</v>
      </c>
      <c r="K183">
        <v>107</v>
      </c>
      <c r="L183">
        <v>1</v>
      </c>
      <c r="M183">
        <v>0</v>
      </c>
      <c r="P183">
        <v>1</v>
      </c>
      <c r="Q183">
        <v>364</v>
      </c>
      <c r="R183">
        <v>0</v>
      </c>
    </row>
    <row r="184" spans="1:18" x14ac:dyDescent="0.35">
      <c r="A184">
        <v>9.2107644192099494E+17</v>
      </c>
      <c r="B184" t="s">
        <v>298</v>
      </c>
      <c r="C184">
        <v>521669673</v>
      </c>
      <c r="D184">
        <v>1.47034734030819E+18</v>
      </c>
      <c r="E184" t="s">
        <v>299</v>
      </c>
      <c r="G184" t="s">
        <v>21</v>
      </c>
      <c r="H184">
        <v>42.6586</v>
      </c>
      <c r="I184">
        <v>-73.757429999999999</v>
      </c>
      <c r="J184" t="s">
        <v>22</v>
      </c>
      <c r="K184">
        <v>103</v>
      </c>
      <c r="L184">
        <v>7</v>
      </c>
      <c r="M184">
        <v>3</v>
      </c>
      <c r="N184" s="1">
        <v>45647</v>
      </c>
      <c r="O184">
        <v>0.09</v>
      </c>
      <c r="P184">
        <v>4</v>
      </c>
      <c r="Q184">
        <v>268</v>
      </c>
      <c r="R184">
        <v>0</v>
      </c>
    </row>
    <row r="185" spans="1:18" x14ac:dyDescent="0.35">
      <c r="A185">
        <v>9.2894890878584602E+17</v>
      </c>
      <c r="B185" t="s">
        <v>300</v>
      </c>
      <c r="C185">
        <v>441054845</v>
      </c>
      <c r="D185">
        <v>1.4699909770349E+18</v>
      </c>
      <c r="E185" t="s">
        <v>301</v>
      </c>
      <c r="G185" t="s">
        <v>68</v>
      </c>
      <c r="H185">
        <v>42.670659999999998</v>
      </c>
      <c r="I185">
        <v>-73.79571</v>
      </c>
      <c r="J185" t="s">
        <v>22</v>
      </c>
      <c r="L185">
        <v>2</v>
      </c>
      <c r="M185">
        <v>96</v>
      </c>
      <c r="N185" s="1">
        <v>46145</v>
      </c>
      <c r="O185">
        <v>2.72</v>
      </c>
      <c r="P185">
        <v>2</v>
      </c>
      <c r="Q185">
        <v>0</v>
      </c>
      <c r="R185">
        <v>27</v>
      </c>
    </row>
    <row r="186" spans="1:18" x14ac:dyDescent="0.35">
      <c r="A186">
        <v>9.3264235889643904E+17</v>
      </c>
      <c r="B186" t="s">
        <v>302</v>
      </c>
      <c r="C186">
        <v>232967878</v>
      </c>
      <c r="D186">
        <v>1.4688023724058199E+18</v>
      </c>
      <c r="E186" t="s">
        <v>95</v>
      </c>
      <c r="G186" t="s">
        <v>68</v>
      </c>
      <c r="H186">
        <v>42.672240000000002</v>
      </c>
      <c r="I186">
        <v>-73.793009999999995</v>
      </c>
      <c r="J186" t="s">
        <v>22</v>
      </c>
      <c r="K186">
        <v>172</v>
      </c>
      <c r="L186">
        <v>2</v>
      </c>
      <c r="M186">
        <v>52</v>
      </c>
      <c r="N186" s="1">
        <v>46158</v>
      </c>
      <c r="O186">
        <v>1.47</v>
      </c>
      <c r="P186">
        <v>14</v>
      </c>
      <c r="Q186">
        <v>10</v>
      </c>
      <c r="R186">
        <v>11</v>
      </c>
    </row>
    <row r="187" spans="1:18" x14ac:dyDescent="0.35">
      <c r="A187">
        <v>9.3403509765305997E+17</v>
      </c>
      <c r="B187" t="s">
        <v>303</v>
      </c>
      <c r="C187">
        <v>493882819</v>
      </c>
      <c r="D187">
        <v>1.47022339078785E+18</v>
      </c>
      <c r="E187" t="s">
        <v>243</v>
      </c>
      <c r="G187" t="s">
        <v>25</v>
      </c>
      <c r="H187">
        <v>42.656550000000003</v>
      </c>
      <c r="I187">
        <v>-73.774339999999995</v>
      </c>
      <c r="J187" t="s">
        <v>31</v>
      </c>
      <c r="K187">
        <v>167</v>
      </c>
      <c r="L187">
        <v>1</v>
      </c>
      <c r="M187">
        <v>10</v>
      </c>
      <c r="N187" s="1">
        <v>46158</v>
      </c>
      <c r="O187">
        <v>0.28000000000000003</v>
      </c>
      <c r="P187">
        <v>6</v>
      </c>
      <c r="Q187">
        <v>178</v>
      </c>
      <c r="R187">
        <v>2</v>
      </c>
    </row>
    <row r="188" spans="1:18" x14ac:dyDescent="0.35">
      <c r="A188">
        <v>9.3783789763119104E+17</v>
      </c>
      <c r="B188" t="s">
        <v>304</v>
      </c>
      <c r="C188">
        <v>526358730</v>
      </c>
      <c r="D188">
        <v>1.4703671377268201E+18</v>
      </c>
      <c r="E188" t="s">
        <v>305</v>
      </c>
      <c r="G188" t="s">
        <v>25</v>
      </c>
      <c r="H188">
        <v>42.658670000000001</v>
      </c>
      <c r="I188">
        <v>-73.774789999999996</v>
      </c>
      <c r="J188" t="s">
        <v>31</v>
      </c>
      <c r="K188">
        <v>174</v>
      </c>
      <c r="L188">
        <v>1</v>
      </c>
      <c r="M188">
        <v>3</v>
      </c>
      <c r="N188" s="1">
        <v>46131</v>
      </c>
      <c r="O188">
        <v>0.09</v>
      </c>
      <c r="P188">
        <v>11</v>
      </c>
      <c r="Q188">
        <v>189</v>
      </c>
      <c r="R188">
        <v>1</v>
      </c>
    </row>
    <row r="189" spans="1:18" x14ac:dyDescent="0.35">
      <c r="A189">
        <v>9.3791714448276198E+17</v>
      </c>
      <c r="B189" t="s">
        <v>306</v>
      </c>
      <c r="C189">
        <v>526358730</v>
      </c>
      <c r="D189">
        <v>1.4703671377268201E+18</v>
      </c>
      <c r="E189" t="s">
        <v>305</v>
      </c>
      <c r="G189" t="s">
        <v>47</v>
      </c>
      <c r="H189">
        <v>42.659080000000003</v>
      </c>
      <c r="I189">
        <v>-73.774559999999994</v>
      </c>
      <c r="J189" t="s">
        <v>31</v>
      </c>
      <c r="K189">
        <v>174</v>
      </c>
      <c r="L189">
        <v>1</v>
      </c>
      <c r="M189">
        <v>9</v>
      </c>
      <c r="N189" s="1">
        <v>45871</v>
      </c>
      <c r="O189">
        <v>0.26</v>
      </c>
      <c r="P189">
        <v>11</v>
      </c>
      <c r="Q189">
        <v>147</v>
      </c>
      <c r="R189">
        <v>2</v>
      </c>
    </row>
    <row r="190" spans="1:18" x14ac:dyDescent="0.35">
      <c r="A190">
        <v>9.3792797976295194E+17</v>
      </c>
      <c r="B190" t="s">
        <v>307</v>
      </c>
      <c r="C190">
        <v>526358730</v>
      </c>
      <c r="D190">
        <v>1.4703671377268201E+18</v>
      </c>
      <c r="E190" t="s">
        <v>305</v>
      </c>
      <c r="G190" t="s">
        <v>47</v>
      </c>
      <c r="H190">
        <v>42.660429999999998</v>
      </c>
      <c r="I190">
        <v>-73.774320000000003</v>
      </c>
      <c r="J190" t="s">
        <v>31</v>
      </c>
      <c r="K190">
        <v>174</v>
      </c>
      <c r="L190">
        <v>1</v>
      </c>
      <c r="M190">
        <v>3</v>
      </c>
      <c r="N190" s="1">
        <v>45848</v>
      </c>
      <c r="O190">
        <v>0.14000000000000001</v>
      </c>
      <c r="P190">
        <v>11</v>
      </c>
      <c r="Q190">
        <v>188</v>
      </c>
      <c r="R190">
        <v>1</v>
      </c>
    </row>
    <row r="191" spans="1:18" x14ac:dyDescent="0.35">
      <c r="A191">
        <v>9.3793521029040794E+17</v>
      </c>
      <c r="B191" t="s">
        <v>308</v>
      </c>
      <c r="C191">
        <v>526358730</v>
      </c>
      <c r="D191">
        <v>1.4703671377268201E+18</v>
      </c>
      <c r="E191" t="s">
        <v>305</v>
      </c>
      <c r="G191" t="s">
        <v>25</v>
      </c>
      <c r="H191">
        <v>42.658470000000001</v>
      </c>
      <c r="I191">
        <v>-73.772720000000007</v>
      </c>
      <c r="J191" t="s">
        <v>31</v>
      </c>
      <c r="K191">
        <v>174</v>
      </c>
      <c r="L191">
        <v>1</v>
      </c>
      <c r="M191">
        <v>7</v>
      </c>
      <c r="N191" s="1">
        <v>46144</v>
      </c>
      <c r="O191">
        <v>0.22</v>
      </c>
      <c r="P191">
        <v>11</v>
      </c>
      <c r="Q191">
        <v>190</v>
      </c>
      <c r="R191">
        <v>1</v>
      </c>
    </row>
    <row r="192" spans="1:18" x14ac:dyDescent="0.35">
      <c r="A192">
        <v>9.3794363826295603E+17</v>
      </c>
      <c r="B192" t="s">
        <v>309</v>
      </c>
      <c r="C192">
        <v>526358730</v>
      </c>
      <c r="D192">
        <v>1.4703671377268201E+18</v>
      </c>
      <c r="E192" t="s">
        <v>305</v>
      </c>
      <c r="G192" t="s">
        <v>25</v>
      </c>
      <c r="H192">
        <v>42.659080000000003</v>
      </c>
      <c r="I192">
        <v>-73.773259999999993</v>
      </c>
      <c r="J192" t="s">
        <v>31</v>
      </c>
      <c r="K192">
        <v>292</v>
      </c>
      <c r="L192">
        <v>1</v>
      </c>
      <c r="M192">
        <v>4</v>
      </c>
      <c r="N192" s="1">
        <v>46082</v>
      </c>
      <c r="O192">
        <v>0.13</v>
      </c>
      <c r="P192">
        <v>11</v>
      </c>
      <c r="Q192">
        <v>182</v>
      </c>
      <c r="R192">
        <v>2</v>
      </c>
    </row>
    <row r="193" spans="1:18" x14ac:dyDescent="0.35">
      <c r="A193">
        <v>9.3795960429660198E+17</v>
      </c>
      <c r="B193" t="s">
        <v>310</v>
      </c>
      <c r="C193">
        <v>526358730</v>
      </c>
      <c r="D193">
        <v>1.4703671377268201E+18</v>
      </c>
      <c r="E193" t="s">
        <v>305</v>
      </c>
      <c r="G193" t="s">
        <v>47</v>
      </c>
      <c r="H193">
        <v>42.660029999999999</v>
      </c>
      <c r="I193">
        <v>-73.773200000000003</v>
      </c>
      <c r="J193" t="s">
        <v>31</v>
      </c>
      <c r="K193">
        <v>280</v>
      </c>
      <c r="L193">
        <v>1</v>
      </c>
      <c r="M193">
        <v>2</v>
      </c>
      <c r="N193" s="1">
        <v>46086</v>
      </c>
      <c r="O193">
        <v>0.19</v>
      </c>
      <c r="P193">
        <v>11</v>
      </c>
      <c r="Q193">
        <v>184</v>
      </c>
      <c r="R193">
        <v>2</v>
      </c>
    </row>
    <row r="194" spans="1:18" x14ac:dyDescent="0.35">
      <c r="A194">
        <v>9.3796696749041997E+17</v>
      </c>
      <c r="B194" t="s">
        <v>311</v>
      </c>
      <c r="C194">
        <v>526358730</v>
      </c>
      <c r="D194">
        <v>1.4703671377268201E+18</v>
      </c>
      <c r="E194" t="s">
        <v>305</v>
      </c>
      <c r="G194" t="s">
        <v>25</v>
      </c>
      <c r="H194">
        <v>42.658569999999997</v>
      </c>
      <c r="I194">
        <v>-73.7744</v>
      </c>
      <c r="J194" t="s">
        <v>31</v>
      </c>
      <c r="K194">
        <v>241</v>
      </c>
      <c r="L194">
        <v>1</v>
      </c>
      <c r="M194">
        <v>0</v>
      </c>
      <c r="P194">
        <v>11</v>
      </c>
      <c r="Q194">
        <v>185</v>
      </c>
      <c r="R194">
        <v>0</v>
      </c>
    </row>
    <row r="195" spans="1:18" x14ac:dyDescent="0.35">
      <c r="A195">
        <v>9.3826013461729101E+17</v>
      </c>
      <c r="B195" t="s">
        <v>312</v>
      </c>
      <c r="C195">
        <v>526358730</v>
      </c>
      <c r="D195">
        <v>1.4703671377268201E+18</v>
      </c>
      <c r="E195" t="s">
        <v>305</v>
      </c>
      <c r="G195" t="s">
        <v>25</v>
      </c>
      <c r="H195">
        <v>42.658929999999998</v>
      </c>
      <c r="I195">
        <v>-73.774479999999997</v>
      </c>
      <c r="J195" t="s">
        <v>31</v>
      </c>
      <c r="K195">
        <v>241</v>
      </c>
      <c r="L195">
        <v>1</v>
      </c>
      <c r="M195">
        <v>0</v>
      </c>
      <c r="P195">
        <v>11</v>
      </c>
      <c r="Q195">
        <v>187</v>
      </c>
      <c r="R195">
        <v>0</v>
      </c>
    </row>
    <row r="196" spans="1:18" x14ac:dyDescent="0.35">
      <c r="A196">
        <v>9.3826619976670106E+17</v>
      </c>
      <c r="B196" t="s">
        <v>313</v>
      </c>
      <c r="C196">
        <v>526358730</v>
      </c>
      <c r="D196">
        <v>1.4703671377268201E+18</v>
      </c>
      <c r="E196" t="s">
        <v>305</v>
      </c>
      <c r="G196" t="s">
        <v>47</v>
      </c>
      <c r="H196">
        <v>42.66037</v>
      </c>
      <c r="I196">
        <v>-73.773269999999997</v>
      </c>
      <c r="J196" t="s">
        <v>31</v>
      </c>
      <c r="K196">
        <v>241</v>
      </c>
      <c r="L196">
        <v>1</v>
      </c>
      <c r="M196">
        <v>0</v>
      </c>
      <c r="P196">
        <v>11</v>
      </c>
      <c r="Q196">
        <v>190</v>
      </c>
      <c r="R196">
        <v>0</v>
      </c>
    </row>
    <row r="197" spans="1:18" x14ac:dyDescent="0.35">
      <c r="A197">
        <v>9.3827178641832704E+17</v>
      </c>
      <c r="B197" t="s">
        <v>314</v>
      </c>
      <c r="C197">
        <v>526358730</v>
      </c>
      <c r="D197">
        <v>1.4703671377268201E+18</v>
      </c>
      <c r="E197" t="s">
        <v>305</v>
      </c>
      <c r="G197" t="s">
        <v>25</v>
      </c>
      <c r="H197">
        <v>42.658679999999997</v>
      </c>
      <c r="I197">
        <v>-73.773330000000001</v>
      </c>
      <c r="J197" t="s">
        <v>31</v>
      </c>
      <c r="K197">
        <v>331</v>
      </c>
      <c r="L197">
        <v>1</v>
      </c>
      <c r="M197">
        <v>0</v>
      </c>
      <c r="P197">
        <v>11</v>
      </c>
      <c r="Q197">
        <v>187</v>
      </c>
      <c r="R197">
        <v>0</v>
      </c>
    </row>
    <row r="198" spans="1:18" x14ac:dyDescent="0.35">
      <c r="A198">
        <v>9.3828041968616499E+17</v>
      </c>
      <c r="B198" t="s">
        <v>315</v>
      </c>
      <c r="C198">
        <v>526358730</v>
      </c>
      <c r="D198">
        <v>1.4703671377268201E+18</v>
      </c>
      <c r="E198" t="s">
        <v>305</v>
      </c>
      <c r="G198" t="s">
        <v>47</v>
      </c>
      <c r="H198">
        <v>42.660359999999997</v>
      </c>
      <c r="I198">
        <v>-73.772900000000007</v>
      </c>
      <c r="J198" t="s">
        <v>22</v>
      </c>
      <c r="K198">
        <v>431</v>
      </c>
      <c r="L198">
        <v>1</v>
      </c>
      <c r="M198">
        <v>19</v>
      </c>
      <c r="N198" s="1">
        <v>46075</v>
      </c>
      <c r="O198">
        <v>0.55000000000000004</v>
      </c>
      <c r="P198">
        <v>11</v>
      </c>
      <c r="Q198">
        <v>181</v>
      </c>
      <c r="R198">
        <v>3</v>
      </c>
    </row>
    <row r="199" spans="1:18" x14ac:dyDescent="0.35">
      <c r="A199">
        <v>9.3842111712200998E+17</v>
      </c>
      <c r="B199" t="s">
        <v>316</v>
      </c>
      <c r="C199">
        <v>116935236</v>
      </c>
      <c r="D199">
        <v>1.46291058270339E+18</v>
      </c>
      <c r="E199" t="s">
        <v>254</v>
      </c>
      <c r="G199" t="s">
        <v>40</v>
      </c>
      <c r="H199">
        <v>42.670836700000002</v>
      </c>
      <c r="I199">
        <v>-73.7853116</v>
      </c>
      <c r="J199" t="s">
        <v>31</v>
      </c>
      <c r="K199">
        <v>76</v>
      </c>
      <c r="L199">
        <v>5</v>
      </c>
      <c r="M199">
        <v>27</v>
      </c>
      <c r="N199" s="1">
        <v>45915</v>
      </c>
      <c r="O199">
        <v>0.77</v>
      </c>
      <c r="P199">
        <v>5</v>
      </c>
      <c r="Q199">
        <v>334</v>
      </c>
      <c r="R199">
        <v>1</v>
      </c>
    </row>
    <row r="200" spans="1:18" x14ac:dyDescent="0.35">
      <c r="A200">
        <v>9.3843181149914099E+17</v>
      </c>
      <c r="B200" t="s">
        <v>317</v>
      </c>
      <c r="C200">
        <v>116935236</v>
      </c>
      <c r="D200">
        <v>1.46291058270339E+18</v>
      </c>
      <c r="E200" t="s">
        <v>254</v>
      </c>
      <c r="G200" t="s">
        <v>68</v>
      </c>
      <c r="H200">
        <v>42.669739999999997</v>
      </c>
      <c r="I200">
        <v>-73.786109999999994</v>
      </c>
      <c r="J200" t="s">
        <v>31</v>
      </c>
      <c r="K200">
        <v>61</v>
      </c>
      <c r="L200">
        <v>5</v>
      </c>
      <c r="M200">
        <v>49</v>
      </c>
      <c r="N200" s="1">
        <v>46132</v>
      </c>
      <c r="O200">
        <v>1.39</v>
      </c>
      <c r="P200">
        <v>5</v>
      </c>
      <c r="Q200">
        <v>334</v>
      </c>
      <c r="R200">
        <v>13</v>
      </c>
    </row>
    <row r="201" spans="1:18" x14ac:dyDescent="0.35">
      <c r="A201">
        <v>9.4275036329346304E+17</v>
      </c>
      <c r="B201" t="s">
        <v>318</v>
      </c>
      <c r="C201">
        <v>116935236</v>
      </c>
      <c r="D201">
        <v>1.46291058270339E+18</v>
      </c>
      <c r="E201" t="s">
        <v>254</v>
      </c>
      <c r="G201" t="s">
        <v>40</v>
      </c>
      <c r="H201">
        <v>42.670340000000003</v>
      </c>
      <c r="I201">
        <v>-73.7851</v>
      </c>
      <c r="J201" t="s">
        <v>31</v>
      </c>
      <c r="K201">
        <v>72</v>
      </c>
      <c r="L201">
        <v>5</v>
      </c>
      <c r="M201">
        <v>23</v>
      </c>
      <c r="N201" s="1">
        <v>46179</v>
      </c>
      <c r="O201">
        <v>0.78</v>
      </c>
      <c r="P201">
        <v>5</v>
      </c>
      <c r="Q201">
        <v>345</v>
      </c>
      <c r="R201">
        <v>4</v>
      </c>
    </row>
    <row r="202" spans="1:18" x14ac:dyDescent="0.35">
      <c r="A202">
        <v>9.5021142572560998E+17</v>
      </c>
      <c r="B202" t="s">
        <v>319</v>
      </c>
      <c r="C202">
        <v>1717342</v>
      </c>
      <c r="D202">
        <v>1.46251991937325E+18</v>
      </c>
      <c r="E202" t="s">
        <v>166</v>
      </c>
      <c r="G202" t="s">
        <v>25</v>
      </c>
      <c r="H202">
        <v>42.6541815</v>
      </c>
      <c r="I202">
        <v>-73.760860499999893</v>
      </c>
      <c r="J202" t="s">
        <v>22</v>
      </c>
      <c r="K202">
        <v>287</v>
      </c>
      <c r="L202">
        <v>1</v>
      </c>
      <c r="M202">
        <v>259</v>
      </c>
      <c r="N202" s="1">
        <v>46180</v>
      </c>
      <c r="O202">
        <v>7.52</v>
      </c>
      <c r="P202">
        <v>2</v>
      </c>
      <c r="Q202">
        <v>313</v>
      </c>
      <c r="R202">
        <v>84</v>
      </c>
    </row>
    <row r="203" spans="1:18" x14ac:dyDescent="0.35">
      <c r="A203">
        <v>9.5061350510250701E+17</v>
      </c>
      <c r="B203" t="s">
        <v>320</v>
      </c>
      <c r="C203">
        <v>529844022</v>
      </c>
      <c r="D203">
        <v>1.47038102851859E+18</v>
      </c>
      <c r="E203" t="s">
        <v>321</v>
      </c>
      <c r="G203" t="s">
        <v>117</v>
      </c>
      <c r="H203">
        <v>42.637675299999998</v>
      </c>
      <c r="I203">
        <v>-73.768540899999905</v>
      </c>
      <c r="J203" t="s">
        <v>22</v>
      </c>
      <c r="L203">
        <v>1</v>
      </c>
      <c r="M203">
        <v>14</v>
      </c>
      <c r="N203" s="1">
        <v>46061</v>
      </c>
      <c r="O203">
        <v>1.74</v>
      </c>
      <c r="P203">
        <v>1</v>
      </c>
      <c r="Q203">
        <v>0</v>
      </c>
      <c r="R203">
        <v>14</v>
      </c>
    </row>
    <row r="204" spans="1:18" x14ac:dyDescent="0.35">
      <c r="A204">
        <v>9.6392069546446195E+17</v>
      </c>
      <c r="B204" t="s">
        <v>322</v>
      </c>
      <c r="C204">
        <v>189586864</v>
      </c>
      <c r="D204">
        <v>1.4689832138778601E+18</v>
      </c>
      <c r="E204" t="s">
        <v>323</v>
      </c>
      <c r="G204" t="s">
        <v>25</v>
      </c>
      <c r="H204">
        <v>42.652410000000003</v>
      </c>
      <c r="I204">
        <v>-73.770020000000002</v>
      </c>
      <c r="J204" t="s">
        <v>22</v>
      </c>
      <c r="K204">
        <v>184</v>
      </c>
      <c r="L204">
        <v>1</v>
      </c>
      <c r="M204">
        <v>139</v>
      </c>
      <c r="N204" s="1">
        <v>46170</v>
      </c>
      <c r="O204">
        <v>4.08</v>
      </c>
      <c r="P204">
        <v>1</v>
      </c>
      <c r="Q204">
        <v>335</v>
      </c>
      <c r="R204">
        <v>38</v>
      </c>
    </row>
    <row r="205" spans="1:18" x14ac:dyDescent="0.35">
      <c r="A205">
        <v>9.6531368480846605E+17</v>
      </c>
      <c r="B205" t="s">
        <v>324</v>
      </c>
      <c r="C205">
        <v>533703131</v>
      </c>
      <c r="D205">
        <v>1.4703957828661901E+18</v>
      </c>
      <c r="E205" t="s">
        <v>325</v>
      </c>
      <c r="G205" t="s">
        <v>21</v>
      </c>
      <c r="H205">
        <v>42.656658760865298</v>
      </c>
      <c r="I205">
        <v>-73.749396800994802</v>
      </c>
      <c r="J205" t="s">
        <v>22</v>
      </c>
      <c r="L205">
        <v>1</v>
      </c>
      <c r="M205">
        <v>6</v>
      </c>
      <c r="N205" s="1">
        <v>45787</v>
      </c>
      <c r="O205">
        <v>0.41</v>
      </c>
      <c r="P205">
        <v>1</v>
      </c>
      <c r="Q205">
        <v>0</v>
      </c>
      <c r="R205">
        <v>0</v>
      </c>
    </row>
    <row r="206" spans="1:18" x14ac:dyDescent="0.35">
      <c r="A206">
        <v>9.6628779998070106E+17</v>
      </c>
      <c r="B206" t="s">
        <v>326</v>
      </c>
      <c r="C206">
        <v>374765317</v>
      </c>
      <c r="D206">
        <v>1.46976254471488E+18</v>
      </c>
      <c r="E206" t="s">
        <v>327</v>
      </c>
      <c r="G206" t="s">
        <v>37</v>
      </c>
      <c r="H206">
        <v>42.670589999999997</v>
      </c>
      <c r="I206">
        <v>-73.816779999999994</v>
      </c>
      <c r="J206" t="s">
        <v>22</v>
      </c>
      <c r="K206">
        <v>160</v>
      </c>
      <c r="L206">
        <v>3</v>
      </c>
      <c r="M206">
        <v>28</v>
      </c>
      <c r="N206" s="1">
        <v>46008</v>
      </c>
      <c r="O206">
        <v>0.84</v>
      </c>
      <c r="P206">
        <v>1</v>
      </c>
      <c r="Q206">
        <v>164</v>
      </c>
      <c r="R206">
        <v>7</v>
      </c>
    </row>
    <row r="207" spans="1:18" x14ac:dyDescent="0.35">
      <c r="A207">
        <v>9.6988676337752602E+17</v>
      </c>
      <c r="B207" t="s">
        <v>328</v>
      </c>
      <c r="C207">
        <v>382970529</v>
      </c>
      <c r="D207">
        <v>1.4635744483223401E+18</v>
      </c>
      <c r="E207" t="s">
        <v>141</v>
      </c>
      <c r="G207" t="s">
        <v>34</v>
      </c>
      <c r="H207">
        <v>42.668770000000002</v>
      </c>
      <c r="I207">
        <v>-73.799270000000007</v>
      </c>
      <c r="J207" t="s">
        <v>31</v>
      </c>
      <c r="K207">
        <v>90</v>
      </c>
      <c r="L207">
        <v>1</v>
      </c>
      <c r="M207">
        <v>165</v>
      </c>
      <c r="N207" s="1">
        <v>46174</v>
      </c>
      <c r="O207">
        <v>5.16</v>
      </c>
      <c r="P207">
        <v>12</v>
      </c>
      <c r="Q207">
        <v>14</v>
      </c>
      <c r="R207">
        <v>37</v>
      </c>
    </row>
    <row r="208" spans="1:18" x14ac:dyDescent="0.35">
      <c r="A208">
        <v>9.8003434880118605E+17</v>
      </c>
      <c r="B208" t="s">
        <v>329</v>
      </c>
      <c r="C208">
        <v>241123402</v>
      </c>
      <c r="D208">
        <v>1.46928151181552E+18</v>
      </c>
      <c r="E208" t="s">
        <v>330</v>
      </c>
      <c r="G208" t="s">
        <v>25</v>
      </c>
      <c r="H208">
        <v>42.653127750013901</v>
      </c>
      <c r="I208">
        <v>-73.769504651427198</v>
      </c>
      <c r="J208" t="s">
        <v>22</v>
      </c>
      <c r="K208">
        <v>177</v>
      </c>
      <c r="L208">
        <v>1</v>
      </c>
      <c r="M208">
        <v>42</v>
      </c>
      <c r="N208" s="1">
        <v>46178</v>
      </c>
      <c r="O208">
        <v>1.29</v>
      </c>
      <c r="P208">
        <v>1</v>
      </c>
      <c r="Q208">
        <v>295</v>
      </c>
      <c r="R208">
        <v>17</v>
      </c>
    </row>
    <row r="209" spans="1:18" x14ac:dyDescent="0.35">
      <c r="A209">
        <v>9.8330681991008102E+17</v>
      </c>
      <c r="B209" t="s">
        <v>331</v>
      </c>
      <c r="C209">
        <v>114183978</v>
      </c>
      <c r="D209">
        <v>1.4681773182880399E+18</v>
      </c>
      <c r="E209" t="s">
        <v>332</v>
      </c>
      <c r="G209" t="s">
        <v>54</v>
      </c>
      <c r="H209">
        <v>42.66628</v>
      </c>
      <c r="I209">
        <v>-73.765119999999996</v>
      </c>
      <c r="J209" t="s">
        <v>22</v>
      </c>
      <c r="K209">
        <v>209</v>
      </c>
      <c r="L209">
        <v>2</v>
      </c>
      <c r="M209">
        <v>7</v>
      </c>
      <c r="N209" s="1">
        <v>45963</v>
      </c>
      <c r="O209">
        <v>0.22</v>
      </c>
      <c r="P209">
        <v>1</v>
      </c>
      <c r="Q209">
        <v>107</v>
      </c>
      <c r="R209">
        <v>2</v>
      </c>
    </row>
    <row r="210" spans="1:18" x14ac:dyDescent="0.35">
      <c r="A210">
        <v>9.8901005828131802E+17</v>
      </c>
      <c r="B210" t="s">
        <v>333</v>
      </c>
      <c r="C210">
        <v>75667477</v>
      </c>
      <c r="D210">
        <v>1.4669293875414799E+18</v>
      </c>
      <c r="E210" t="s">
        <v>334</v>
      </c>
      <c r="G210" t="s">
        <v>21</v>
      </c>
      <c r="H210">
        <v>42.655155158516301</v>
      </c>
      <c r="I210">
        <v>-73.760525826474293</v>
      </c>
      <c r="J210" t="s">
        <v>22</v>
      </c>
      <c r="K210">
        <v>109</v>
      </c>
      <c r="L210">
        <v>30</v>
      </c>
      <c r="M210">
        <v>10</v>
      </c>
      <c r="N210" s="1">
        <v>46054</v>
      </c>
      <c r="O210">
        <v>0.3</v>
      </c>
      <c r="P210">
        <v>1</v>
      </c>
      <c r="Q210">
        <v>218</v>
      </c>
      <c r="R210">
        <v>3</v>
      </c>
    </row>
    <row r="211" spans="1:18" x14ac:dyDescent="0.35">
      <c r="A211">
        <v>9.9093548714637901E+17</v>
      </c>
      <c r="B211" t="s">
        <v>335</v>
      </c>
      <c r="C211">
        <v>93905065</v>
      </c>
      <c r="D211">
        <v>1.46713319805373E+18</v>
      </c>
      <c r="E211" t="s">
        <v>297</v>
      </c>
      <c r="G211" t="s">
        <v>25</v>
      </c>
      <c r="H211">
        <v>42.652599240074899</v>
      </c>
      <c r="I211">
        <v>-73.761780139996006</v>
      </c>
      <c r="J211" t="s">
        <v>22</v>
      </c>
      <c r="K211">
        <v>144</v>
      </c>
      <c r="L211">
        <v>1</v>
      </c>
      <c r="M211">
        <v>43</v>
      </c>
      <c r="N211" s="1">
        <v>46155</v>
      </c>
      <c r="O211">
        <v>1.47</v>
      </c>
      <c r="P211">
        <v>1</v>
      </c>
      <c r="Q211">
        <v>69</v>
      </c>
      <c r="R211">
        <v>24</v>
      </c>
    </row>
    <row r="212" spans="1:18" x14ac:dyDescent="0.35">
      <c r="A212">
        <v>9.9211983278087104E+17</v>
      </c>
      <c r="B212" t="s">
        <v>336</v>
      </c>
      <c r="C212">
        <v>152762198</v>
      </c>
      <c r="D212">
        <v>1.4684980323377999E+18</v>
      </c>
      <c r="E212" t="s">
        <v>72</v>
      </c>
      <c r="G212" t="s">
        <v>34</v>
      </c>
      <c r="H212">
        <v>42.67098</v>
      </c>
      <c r="I212">
        <v>-73.806950000000001</v>
      </c>
      <c r="J212" t="s">
        <v>22</v>
      </c>
      <c r="K212">
        <v>177</v>
      </c>
      <c r="L212">
        <v>3</v>
      </c>
      <c r="M212">
        <v>37</v>
      </c>
      <c r="N212" s="1">
        <v>46166</v>
      </c>
      <c r="O212">
        <v>1.1299999999999999</v>
      </c>
      <c r="P212">
        <v>9</v>
      </c>
      <c r="Q212">
        <v>264</v>
      </c>
      <c r="R212">
        <v>19</v>
      </c>
    </row>
    <row r="213" spans="1:18" x14ac:dyDescent="0.35">
      <c r="A213">
        <v>9.9255454967215898E+17</v>
      </c>
      <c r="B213" t="s">
        <v>337</v>
      </c>
      <c r="C213">
        <v>476189412</v>
      </c>
      <c r="D213">
        <v>1.47014647691263E+18</v>
      </c>
      <c r="E213" t="s">
        <v>213</v>
      </c>
      <c r="G213" t="s">
        <v>64</v>
      </c>
      <c r="H213">
        <v>42.644856870964603</v>
      </c>
      <c r="I213">
        <v>-73.772818811696197</v>
      </c>
      <c r="J213" t="s">
        <v>22</v>
      </c>
      <c r="K213">
        <v>625</v>
      </c>
      <c r="L213">
        <v>2</v>
      </c>
      <c r="M213">
        <v>24</v>
      </c>
      <c r="N213" s="1">
        <v>46185</v>
      </c>
      <c r="O213">
        <v>0.84</v>
      </c>
      <c r="P213">
        <v>3</v>
      </c>
      <c r="Q213">
        <v>127</v>
      </c>
      <c r="R213">
        <v>14</v>
      </c>
    </row>
    <row r="214" spans="1:18" x14ac:dyDescent="0.35">
      <c r="A214">
        <v>9.9343145982111706E+17</v>
      </c>
      <c r="B214" t="s">
        <v>338</v>
      </c>
      <c r="C214">
        <v>309980121</v>
      </c>
      <c r="D214">
        <v>1.46957821900511E+18</v>
      </c>
      <c r="E214" t="s">
        <v>339</v>
      </c>
      <c r="G214" t="s">
        <v>25</v>
      </c>
      <c r="H214">
        <v>42.656230000000001</v>
      </c>
      <c r="I214">
        <v>-73.764115200000006</v>
      </c>
      <c r="J214" t="s">
        <v>22</v>
      </c>
      <c r="L214">
        <v>7</v>
      </c>
      <c r="M214">
        <v>12</v>
      </c>
      <c r="N214" s="1">
        <v>45351</v>
      </c>
      <c r="O214">
        <v>0.37</v>
      </c>
      <c r="P214">
        <v>1</v>
      </c>
      <c r="Q214">
        <v>0</v>
      </c>
      <c r="R214">
        <v>0</v>
      </c>
    </row>
    <row r="215" spans="1:18" x14ac:dyDescent="0.35">
      <c r="A215">
        <v>9.9916188705554202E+17</v>
      </c>
      <c r="B215" t="s">
        <v>340</v>
      </c>
      <c r="C215">
        <v>531209536</v>
      </c>
      <c r="D215">
        <v>1.47038611691843E+18</v>
      </c>
      <c r="E215" t="s">
        <v>341</v>
      </c>
      <c r="G215" t="s">
        <v>21</v>
      </c>
      <c r="H215">
        <v>42.657620000000001</v>
      </c>
      <c r="I215">
        <v>-73.751159999999999</v>
      </c>
      <c r="J215" t="s">
        <v>22</v>
      </c>
      <c r="K215">
        <v>161</v>
      </c>
      <c r="L215">
        <v>1</v>
      </c>
      <c r="M215">
        <v>59</v>
      </c>
      <c r="N215" s="1">
        <v>46158</v>
      </c>
      <c r="O215">
        <v>1.82</v>
      </c>
      <c r="P215">
        <v>2</v>
      </c>
      <c r="Q215">
        <v>253</v>
      </c>
      <c r="R215">
        <v>24</v>
      </c>
    </row>
    <row r="216" spans="1:18" x14ac:dyDescent="0.35">
      <c r="A216">
        <v>1.0049785400015601E+18</v>
      </c>
      <c r="B216" t="s">
        <v>342</v>
      </c>
      <c r="C216">
        <v>31318080</v>
      </c>
      <c r="D216">
        <v>1.4654606569688699E+18</v>
      </c>
      <c r="E216" t="s">
        <v>343</v>
      </c>
      <c r="G216" t="s">
        <v>84</v>
      </c>
      <c r="H216">
        <v>42.655500000000004</v>
      </c>
      <c r="I216">
        <v>-73.810659999999999</v>
      </c>
      <c r="J216" t="s">
        <v>22</v>
      </c>
      <c r="K216">
        <v>258</v>
      </c>
      <c r="L216">
        <v>2</v>
      </c>
      <c r="M216">
        <v>97</v>
      </c>
      <c r="N216" s="1">
        <v>46173</v>
      </c>
      <c r="O216">
        <v>3.42</v>
      </c>
      <c r="P216">
        <v>1</v>
      </c>
      <c r="Q216">
        <v>215</v>
      </c>
      <c r="R216">
        <v>41</v>
      </c>
    </row>
    <row r="217" spans="1:18" x14ac:dyDescent="0.35">
      <c r="A217">
        <v>1.00597834681786E+18</v>
      </c>
      <c r="B217" t="s">
        <v>344</v>
      </c>
      <c r="C217">
        <v>44434571</v>
      </c>
      <c r="D217">
        <v>1.46269698801421E+18</v>
      </c>
      <c r="E217" t="s">
        <v>87</v>
      </c>
      <c r="G217" t="s">
        <v>28</v>
      </c>
      <c r="H217">
        <v>42.645348899999902</v>
      </c>
      <c r="I217">
        <v>-73.753646500000002</v>
      </c>
      <c r="J217" t="s">
        <v>22</v>
      </c>
      <c r="K217">
        <v>355</v>
      </c>
      <c r="L217">
        <v>1</v>
      </c>
      <c r="M217">
        <v>106</v>
      </c>
      <c r="N217" s="1">
        <v>46155</v>
      </c>
      <c r="O217">
        <v>3.31</v>
      </c>
      <c r="P217">
        <v>11</v>
      </c>
      <c r="Q217">
        <v>352</v>
      </c>
      <c r="R217">
        <v>39</v>
      </c>
    </row>
    <row r="218" spans="1:18" x14ac:dyDescent="0.35">
      <c r="A218">
        <v>1.00735408643598E+18</v>
      </c>
      <c r="B218" t="s">
        <v>345</v>
      </c>
      <c r="C218">
        <v>232967878</v>
      </c>
      <c r="D218">
        <v>1.4688023724058199E+18</v>
      </c>
      <c r="E218" t="s">
        <v>95</v>
      </c>
      <c r="G218" t="s">
        <v>47</v>
      </c>
      <c r="H218">
        <v>42.660910000000001</v>
      </c>
      <c r="I218">
        <v>-73.784530000000004</v>
      </c>
      <c r="J218" t="s">
        <v>22</v>
      </c>
      <c r="L218">
        <v>1</v>
      </c>
      <c r="M218">
        <v>39</v>
      </c>
      <c r="N218" s="1">
        <v>45829</v>
      </c>
      <c r="O218">
        <v>1.22</v>
      </c>
      <c r="P218">
        <v>14</v>
      </c>
      <c r="Q218">
        <v>0</v>
      </c>
      <c r="R218">
        <v>0</v>
      </c>
    </row>
    <row r="219" spans="1:18" x14ac:dyDescent="0.35">
      <c r="A219">
        <v>1.01075979348591E+18</v>
      </c>
      <c r="B219" t="s">
        <v>346</v>
      </c>
      <c r="C219">
        <v>382970529</v>
      </c>
      <c r="D219">
        <v>1.4635744483223401E+18</v>
      </c>
      <c r="E219" t="s">
        <v>141</v>
      </c>
      <c r="G219" t="s">
        <v>68</v>
      </c>
      <c r="H219">
        <v>42.670029999999997</v>
      </c>
      <c r="I219">
        <v>-73.797709999999995</v>
      </c>
      <c r="J219" t="s">
        <v>31</v>
      </c>
      <c r="K219">
        <v>80</v>
      </c>
      <c r="L219">
        <v>1</v>
      </c>
      <c r="M219">
        <v>75</v>
      </c>
      <c r="N219" s="1">
        <v>46142</v>
      </c>
      <c r="O219">
        <v>2.35</v>
      </c>
      <c r="P219">
        <v>12</v>
      </c>
      <c r="Q219">
        <v>18</v>
      </c>
      <c r="R219">
        <v>11</v>
      </c>
    </row>
    <row r="220" spans="1:18" x14ac:dyDescent="0.35">
      <c r="A220">
        <v>1.01075979961018E+18</v>
      </c>
      <c r="B220" t="s">
        <v>347</v>
      </c>
      <c r="C220">
        <v>382970529</v>
      </c>
      <c r="D220">
        <v>1.4635744483223401E+18</v>
      </c>
      <c r="E220" t="s">
        <v>141</v>
      </c>
      <c r="G220" t="s">
        <v>68</v>
      </c>
      <c r="H220">
        <v>42.669710000000002</v>
      </c>
      <c r="I220">
        <v>-73.797550000000001</v>
      </c>
      <c r="J220" t="s">
        <v>31</v>
      </c>
      <c r="K220">
        <v>84</v>
      </c>
      <c r="L220">
        <v>1</v>
      </c>
      <c r="M220">
        <v>113</v>
      </c>
      <c r="N220" s="1">
        <v>46171</v>
      </c>
      <c r="O220">
        <v>3.55</v>
      </c>
      <c r="P220">
        <v>12</v>
      </c>
      <c r="Q220">
        <v>10</v>
      </c>
      <c r="R220">
        <v>42</v>
      </c>
    </row>
    <row r="221" spans="1:18" x14ac:dyDescent="0.35">
      <c r="A221">
        <v>1.01076049699797E+18</v>
      </c>
      <c r="B221" t="s">
        <v>348</v>
      </c>
      <c r="C221">
        <v>382970529</v>
      </c>
      <c r="D221">
        <v>1.4635744483223401E+18</v>
      </c>
      <c r="E221" t="s">
        <v>141</v>
      </c>
      <c r="G221" t="s">
        <v>34</v>
      </c>
      <c r="H221">
        <v>42.668066082320202</v>
      </c>
      <c r="I221">
        <v>-73.798249470274499</v>
      </c>
      <c r="J221" t="s">
        <v>31</v>
      </c>
      <c r="K221">
        <v>73</v>
      </c>
      <c r="L221">
        <v>1</v>
      </c>
      <c r="M221">
        <v>19</v>
      </c>
      <c r="N221" s="1">
        <v>46165</v>
      </c>
      <c r="O221">
        <v>0.59</v>
      </c>
      <c r="P221">
        <v>12</v>
      </c>
      <c r="Q221">
        <v>3</v>
      </c>
      <c r="R221">
        <v>17</v>
      </c>
    </row>
    <row r="222" spans="1:18" x14ac:dyDescent="0.35">
      <c r="A222">
        <v>1.0128622184784399E+18</v>
      </c>
      <c r="B222" t="s">
        <v>349</v>
      </c>
      <c r="C222">
        <v>382970529</v>
      </c>
      <c r="D222">
        <v>1.4635744483223401E+18</v>
      </c>
      <c r="E222" t="s">
        <v>141</v>
      </c>
      <c r="G222" t="s">
        <v>68</v>
      </c>
      <c r="H222">
        <v>42.669899245465501</v>
      </c>
      <c r="I222">
        <v>-73.797703105761101</v>
      </c>
      <c r="J222" t="s">
        <v>22</v>
      </c>
      <c r="K222">
        <v>1265</v>
      </c>
      <c r="L222">
        <v>1</v>
      </c>
      <c r="M222">
        <v>11</v>
      </c>
      <c r="N222" s="1">
        <v>46172</v>
      </c>
      <c r="O222">
        <v>1.76</v>
      </c>
      <c r="P222">
        <v>12</v>
      </c>
      <c r="Q222">
        <v>337</v>
      </c>
      <c r="R222">
        <v>11</v>
      </c>
    </row>
    <row r="223" spans="1:18" x14ac:dyDescent="0.35">
      <c r="A223">
        <v>1.01365944018911E+18</v>
      </c>
      <c r="B223" t="s">
        <v>350</v>
      </c>
      <c r="C223">
        <v>382970529</v>
      </c>
      <c r="D223">
        <v>1.4635744483223401E+18</v>
      </c>
      <c r="E223" t="s">
        <v>141</v>
      </c>
      <c r="G223" t="s">
        <v>34</v>
      </c>
      <c r="H223">
        <v>42.668729999999996</v>
      </c>
      <c r="I223">
        <v>-73.799300000000002</v>
      </c>
      <c r="J223" t="s">
        <v>31</v>
      </c>
      <c r="K223">
        <v>86</v>
      </c>
      <c r="L223">
        <v>1</v>
      </c>
      <c r="M223">
        <v>53</v>
      </c>
      <c r="N223" s="1">
        <v>46129</v>
      </c>
      <c r="O223">
        <v>1.67</v>
      </c>
      <c r="P223">
        <v>12</v>
      </c>
      <c r="Q223">
        <v>9</v>
      </c>
      <c r="R223">
        <v>31</v>
      </c>
    </row>
    <row r="224" spans="1:18" x14ac:dyDescent="0.35">
      <c r="A224">
        <v>1.01538521694226E+18</v>
      </c>
      <c r="B224" t="s">
        <v>351</v>
      </c>
      <c r="C224">
        <v>182509542</v>
      </c>
      <c r="D224">
        <v>1.4630792874876201E+18</v>
      </c>
      <c r="E224" t="s">
        <v>352</v>
      </c>
      <c r="G224" t="s">
        <v>51</v>
      </c>
      <c r="H224">
        <v>42.6558992</v>
      </c>
      <c r="I224">
        <v>-73.796569899999994</v>
      </c>
      <c r="J224" t="s">
        <v>31</v>
      </c>
      <c r="K224">
        <v>35</v>
      </c>
      <c r="L224">
        <v>1</v>
      </c>
      <c r="M224">
        <v>0</v>
      </c>
      <c r="P224">
        <v>1</v>
      </c>
      <c r="Q224">
        <v>88</v>
      </c>
      <c r="R224">
        <v>0</v>
      </c>
    </row>
    <row r="225" spans="1:18" x14ac:dyDescent="0.35">
      <c r="A225">
        <v>1.01605014621947E+18</v>
      </c>
      <c r="B225" t="s">
        <v>353</v>
      </c>
      <c r="C225">
        <v>42708277</v>
      </c>
      <c r="D225">
        <v>1.4656344824728699E+18</v>
      </c>
      <c r="E225" t="s">
        <v>354</v>
      </c>
      <c r="G225" t="s">
        <v>25</v>
      </c>
      <c r="H225">
        <v>42.655389999999997</v>
      </c>
      <c r="I225">
        <v>-73.764160000000004</v>
      </c>
      <c r="J225" t="s">
        <v>22</v>
      </c>
      <c r="K225">
        <v>199</v>
      </c>
      <c r="L225">
        <v>1</v>
      </c>
      <c r="M225">
        <v>62</v>
      </c>
      <c r="N225" s="1">
        <v>46171</v>
      </c>
      <c r="O225">
        <v>1.95</v>
      </c>
      <c r="P225">
        <v>5</v>
      </c>
      <c r="Q225">
        <v>58</v>
      </c>
      <c r="R225">
        <v>21</v>
      </c>
    </row>
    <row r="226" spans="1:18" x14ac:dyDescent="0.35">
      <c r="A226">
        <v>1.01829567790992E+18</v>
      </c>
      <c r="B226" t="s">
        <v>355</v>
      </c>
      <c r="C226">
        <v>382970529</v>
      </c>
      <c r="D226">
        <v>1.4635744483223401E+18</v>
      </c>
      <c r="E226" t="s">
        <v>141</v>
      </c>
      <c r="G226" t="s">
        <v>34</v>
      </c>
      <c r="H226">
        <v>42.667920312986197</v>
      </c>
      <c r="I226">
        <v>-73.798957606712094</v>
      </c>
      <c r="J226" t="s">
        <v>31</v>
      </c>
      <c r="K226">
        <v>75</v>
      </c>
      <c r="L226">
        <v>1</v>
      </c>
      <c r="M226">
        <v>54</v>
      </c>
      <c r="N226" s="1">
        <v>46171</v>
      </c>
      <c r="O226">
        <v>1.72</v>
      </c>
      <c r="P226">
        <v>12</v>
      </c>
      <c r="Q226">
        <v>10</v>
      </c>
      <c r="R226">
        <v>37</v>
      </c>
    </row>
    <row r="227" spans="1:18" x14ac:dyDescent="0.35">
      <c r="A227">
        <v>1.01829953322098E+18</v>
      </c>
      <c r="B227" t="s">
        <v>356</v>
      </c>
      <c r="C227">
        <v>382970529</v>
      </c>
      <c r="D227">
        <v>1.4635744483223401E+18</v>
      </c>
      <c r="E227" t="s">
        <v>141</v>
      </c>
      <c r="G227" t="s">
        <v>68</v>
      </c>
      <c r="H227">
        <v>42.669960000000003</v>
      </c>
      <c r="I227">
        <v>-73.798159999999996</v>
      </c>
      <c r="J227" t="s">
        <v>31</v>
      </c>
      <c r="K227">
        <v>86</v>
      </c>
      <c r="L227">
        <v>1</v>
      </c>
      <c r="M227">
        <v>110</v>
      </c>
      <c r="N227" s="1">
        <v>46175</v>
      </c>
      <c r="O227">
        <v>3.48</v>
      </c>
      <c r="P227">
        <v>12</v>
      </c>
      <c r="Q227">
        <v>9</v>
      </c>
      <c r="R227">
        <v>21</v>
      </c>
    </row>
    <row r="228" spans="1:18" x14ac:dyDescent="0.35">
      <c r="A228">
        <v>1.0189721875749E+18</v>
      </c>
      <c r="B228" t="s">
        <v>357</v>
      </c>
      <c r="C228">
        <v>37769478</v>
      </c>
      <c r="D228">
        <v>1.4655652968529201E+18</v>
      </c>
      <c r="E228" t="s">
        <v>182</v>
      </c>
      <c r="G228" t="s">
        <v>25</v>
      </c>
      <c r="H228">
        <v>42.653500000000001</v>
      </c>
      <c r="I228">
        <v>-73.77046</v>
      </c>
      <c r="J228" t="s">
        <v>22</v>
      </c>
      <c r="K228">
        <v>164</v>
      </c>
      <c r="L228">
        <v>1</v>
      </c>
      <c r="M228">
        <v>71</v>
      </c>
      <c r="N228" s="1">
        <v>46166</v>
      </c>
      <c r="O228">
        <v>2.2599999999999998</v>
      </c>
      <c r="P228">
        <v>16</v>
      </c>
      <c r="Q228">
        <v>334</v>
      </c>
      <c r="R228">
        <v>11</v>
      </c>
    </row>
    <row r="229" spans="1:18" x14ac:dyDescent="0.35">
      <c r="A229">
        <v>1.02051850025147E+18</v>
      </c>
      <c r="B229" t="s">
        <v>358</v>
      </c>
      <c r="C229">
        <v>233515764</v>
      </c>
      <c r="D229">
        <v>1.46924386914754E+18</v>
      </c>
      <c r="E229" t="s">
        <v>359</v>
      </c>
      <c r="G229" t="s">
        <v>28</v>
      </c>
      <c r="H229">
        <v>42.64714</v>
      </c>
      <c r="I229">
        <v>-73.754660000000001</v>
      </c>
      <c r="J229" t="s">
        <v>22</v>
      </c>
      <c r="K229">
        <v>123</v>
      </c>
      <c r="L229">
        <v>1</v>
      </c>
      <c r="M229">
        <v>219</v>
      </c>
      <c r="N229" s="1">
        <v>46177</v>
      </c>
      <c r="O229">
        <v>7.12</v>
      </c>
      <c r="P229">
        <v>8</v>
      </c>
      <c r="Q229">
        <v>231</v>
      </c>
      <c r="R229">
        <v>75</v>
      </c>
    </row>
    <row r="230" spans="1:18" x14ac:dyDescent="0.35">
      <c r="A230">
        <v>1.0209931072376E+18</v>
      </c>
      <c r="B230" t="s">
        <v>360</v>
      </c>
      <c r="C230">
        <v>47625981</v>
      </c>
      <c r="D230">
        <v>1.46270726328816E+18</v>
      </c>
      <c r="E230" t="s">
        <v>132</v>
      </c>
      <c r="G230" t="s">
        <v>21</v>
      </c>
      <c r="H230">
        <v>42.6586</v>
      </c>
      <c r="I230">
        <v>-73.764210000000006</v>
      </c>
      <c r="J230" t="s">
        <v>22</v>
      </c>
      <c r="K230">
        <v>216</v>
      </c>
      <c r="L230">
        <v>1</v>
      </c>
      <c r="M230">
        <v>30</v>
      </c>
      <c r="N230" s="1">
        <v>46115</v>
      </c>
      <c r="O230">
        <v>0.96</v>
      </c>
      <c r="P230">
        <v>16</v>
      </c>
      <c r="Q230">
        <v>190</v>
      </c>
      <c r="R230">
        <v>9</v>
      </c>
    </row>
    <row r="231" spans="1:18" x14ac:dyDescent="0.35">
      <c r="A231">
        <v>1.02101134700618E+18</v>
      </c>
      <c r="B231" t="s">
        <v>361</v>
      </c>
      <c r="C231">
        <v>47625981</v>
      </c>
      <c r="D231">
        <v>1.46270726328816E+18</v>
      </c>
      <c r="E231" t="s">
        <v>132</v>
      </c>
      <c r="G231" t="s">
        <v>21</v>
      </c>
      <c r="H231">
        <v>42.659709999999997</v>
      </c>
      <c r="I231">
        <v>-73.763819999999996</v>
      </c>
      <c r="J231" t="s">
        <v>22</v>
      </c>
      <c r="K231">
        <v>216</v>
      </c>
      <c r="L231">
        <v>1</v>
      </c>
      <c r="M231">
        <v>37</v>
      </c>
      <c r="N231" s="1">
        <v>46181</v>
      </c>
      <c r="O231">
        <v>1.19</v>
      </c>
      <c r="P231">
        <v>16</v>
      </c>
      <c r="Q231">
        <v>1</v>
      </c>
      <c r="R231">
        <v>8</v>
      </c>
    </row>
    <row r="232" spans="1:18" x14ac:dyDescent="0.35">
      <c r="A232">
        <v>1.03472281458923E+18</v>
      </c>
      <c r="B232" t="s">
        <v>362</v>
      </c>
      <c r="C232">
        <v>130404008</v>
      </c>
      <c r="D232">
        <v>1.4683066778661801E+18</v>
      </c>
      <c r="E232" t="s">
        <v>127</v>
      </c>
      <c r="G232" t="s">
        <v>21</v>
      </c>
      <c r="H232">
        <v>42.657110000000003</v>
      </c>
      <c r="I232">
        <v>-73.751329999999996</v>
      </c>
      <c r="J232" t="s">
        <v>22</v>
      </c>
      <c r="L232">
        <v>4</v>
      </c>
      <c r="M232">
        <v>2</v>
      </c>
      <c r="N232" s="1">
        <v>45536</v>
      </c>
      <c r="O232">
        <v>0.09</v>
      </c>
      <c r="P232">
        <v>1</v>
      </c>
      <c r="Q232">
        <v>0</v>
      </c>
      <c r="R232">
        <v>0</v>
      </c>
    </row>
    <row r="233" spans="1:18" x14ac:dyDescent="0.35">
      <c r="A233">
        <v>1.04356551798225E+18</v>
      </c>
      <c r="B233" t="s">
        <v>363</v>
      </c>
      <c r="C233">
        <v>212885959</v>
      </c>
      <c r="D233">
        <v>1.4691123158372301E+18</v>
      </c>
      <c r="E233" t="s">
        <v>364</v>
      </c>
      <c r="G233" t="s">
        <v>28</v>
      </c>
      <c r="H233">
        <v>42.639760000000003</v>
      </c>
      <c r="I233">
        <v>-73.757050000000007</v>
      </c>
      <c r="J233" t="s">
        <v>22</v>
      </c>
      <c r="K233">
        <v>171</v>
      </c>
      <c r="L233">
        <v>1</v>
      </c>
      <c r="M233">
        <v>31</v>
      </c>
      <c r="N233" s="1">
        <v>46167</v>
      </c>
      <c r="O233">
        <v>1.0900000000000001</v>
      </c>
      <c r="P233">
        <v>1</v>
      </c>
      <c r="Q233">
        <v>347</v>
      </c>
      <c r="R233">
        <v>12</v>
      </c>
    </row>
    <row r="234" spans="1:18" x14ac:dyDescent="0.35">
      <c r="A234">
        <v>1.05238111211617E+18</v>
      </c>
      <c r="B234" t="s">
        <v>365</v>
      </c>
      <c r="C234">
        <v>52464523</v>
      </c>
      <c r="D234">
        <v>1.46584916793325E+18</v>
      </c>
      <c r="E234" t="s">
        <v>366</v>
      </c>
      <c r="G234" t="s">
        <v>117</v>
      </c>
      <c r="H234">
        <v>42.640810000000002</v>
      </c>
      <c r="I234">
        <v>-73.774630000000002</v>
      </c>
      <c r="J234" t="s">
        <v>22</v>
      </c>
      <c r="K234">
        <v>93</v>
      </c>
      <c r="L234">
        <v>30</v>
      </c>
      <c r="M234">
        <v>9</v>
      </c>
      <c r="N234" s="1">
        <v>45765</v>
      </c>
      <c r="O234">
        <v>0.3</v>
      </c>
      <c r="P234">
        <v>1</v>
      </c>
      <c r="Q234">
        <v>257</v>
      </c>
      <c r="R234">
        <v>0</v>
      </c>
    </row>
    <row r="235" spans="1:18" x14ac:dyDescent="0.35">
      <c r="A235">
        <v>1.0564694739068E+18</v>
      </c>
      <c r="B235" t="s">
        <v>367</v>
      </c>
      <c r="C235">
        <v>553112010</v>
      </c>
      <c r="D235">
        <v>1.4704715399645399E+18</v>
      </c>
      <c r="E235" t="s">
        <v>368</v>
      </c>
      <c r="G235" t="s">
        <v>270</v>
      </c>
      <c r="H235">
        <v>42.7149</v>
      </c>
      <c r="I235">
        <v>-73.876490000000004</v>
      </c>
      <c r="J235" t="s">
        <v>31</v>
      </c>
      <c r="L235">
        <v>2</v>
      </c>
      <c r="M235">
        <v>1</v>
      </c>
      <c r="N235" s="1">
        <v>45591</v>
      </c>
      <c r="O235">
        <v>0.05</v>
      </c>
      <c r="P235">
        <v>1</v>
      </c>
      <c r="Q235">
        <v>268</v>
      </c>
      <c r="R235">
        <v>0</v>
      </c>
    </row>
    <row r="236" spans="1:18" x14ac:dyDescent="0.35">
      <c r="A236">
        <v>1.06181409177337E+18</v>
      </c>
      <c r="B236" t="s">
        <v>369</v>
      </c>
      <c r="C236">
        <v>44434571</v>
      </c>
      <c r="D236">
        <v>1.46269698801421E+18</v>
      </c>
      <c r="E236" t="s">
        <v>87</v>
      </c>
      <c r="G236" t="s">
        <v>28</v>
      </c>
      <c r="H236">
        <v>42.644179999999999</v>
      </c>
      <c r="I236">
        <v>-73.753159999999994</v>
      </c>
      <c r="J236" t="s">
        <v>22</v>
      </c>
      <c r="K236">
        <v>531</v>
      </c>
      <c r="L236">
        <v>1</v>
      </c>
      <c r="M236">
        <v>24</v>
      </c>
      <c r="N236" s="1">
        <v>46173</v>
      </c>
      <c r="O236">
        <v>0.85</v>
      </c>
      <c r="P236">
        <v>11</v>
      </c>
      <c r="Q236">
        <v>351</v>
      </c>
      <c r="R236">
        <v>6</v>
      </c>
    </row>
    <row r="237" spans="1:18" x14ac:dyDescent="0.35">
      <c r="A237">
        <v>1.06252701388531E+18</v>
      </c>
      <c r="B237" t="s">
        <v>370</v>
      </c>
      <c r="C237">
        <v>20536619</v>
      </c>
      <c r="D237">
        <v>1.4626135294231501E+18</v>
      </c>
      <c r="E237" t="s">
        <v>276</v>
      </c>
      <c r="G237" t="s">
        <v>68</v>
      </c>
      <c r="H237">
        <v>42.670960000000001</v>
      </c>
      <c r="I237">
        <v>-73.795140000000004</v>
      </c>
      <c r="J237" t="s">
        <v>31</v>
      </c>
      <c r="K237">
        <v>82</v>
      </c>
      <c r="L237">
        <v>4</v>
      </c>
      <c r="M237">
        <v>17</v>
      </c>
      <c r="N237" s="1">
        <v>46162</v>
      </c>
      <c r="O237">
        <v>0.59</v>
      </c>
      <c r="P237">
        <v>13</v>
      </c>
      <c r="Q237">
        <v>72</v>
      </c>
      <c r="R237">
        <v>5</v>
      </c>
    </row>
    <row r="238" spans="1:18" x14ac:dyDescent="0.35">
      <c r="A238">
        <v>1.07974275736481E+18</v>
      </c>
      <c r="B238" t="s">
        <v>371</v>
      </c>
      <c r="C238">
        <v>119340359</v>
      </c>
      <c r="D238">
        <v>1.4682168017483E+18</v>
      </c>
      <c r="E238" t="s">
        <v>200</v>
      </c>
      <c r="G238" t="s">
        <v>25</v>
      </c>
      <c r="H238">
        <v>42.65531</v>
      </c>
      <c r="I238">
        <v>-73.764489999999995</v>
      </c>
      <c r="J238" t="s">
        <v>22</v>
      </c>
      <c r="L238">
        <v>2</v>
      </c>
      <c r="M238">
        <v>10</v>
      </c>
      <c r="N238" s="1">
        <v>45972</v>
      </c>
      <c r="O238">
        <v>0.35</v>
      </c>
      <c r="P238">
        <v>2</v>
      </c>
      <c r="Q238">
        <v>0</v>
      </c>
      <c r="R238">
        <v>3</v>
      </c>
    </row>
    <row r="239" spans="1:18" x14ac:dyDescent="0.35">
      <c r="A239">
        <v>1.090781013234E+18</v>
      </c>
      <c r="B239" t="s">
        <v>372</v>
      </c>
      <c r="C239">
        <v>521669673</v>
      </c>
      <c r="D239">
        <v>1.47034734030819E+18</v>
      </c>
      <c r="E239" t="s">
        <v>299</v>
      </c>
      <c r="G239" t="s">
        <v>21</v>
      </c>
      <c r="H239">
        <v>42.659750000000003</v>
      </c>
      <c r="I239">
        <v>-73.763109999999998</v>
      </c>
      <c r="J239" t="s">
        <v>22</v>
      </c>
      <c r="K239">
        <v>88</v>
      </c>
      <c r="L239">
        <v>14</v>
      </c>
      <c r="M239">
        <v>1</v>
      </c>
      <c r="N239" s="1">
        <v>45620</v>
      </c>
      <c r="O239">
        <v>0.05</v>
      </c>
      <c r="P239">
        <v>4</v>
      </c>
      <c r="Q239">
        <v>268</v>
      </c>
      <c r="R239">
        <v>0</v>
      </c>
    </row>
    <row r="240" spans="1:18" x14ac:dyDescent="0.35">
      <c r="A240">
        <v>1.09150038732973E+18</v>
      </c>
      <c r="B240" t="s">
        <v>373</v>
      </c>
      <c r="C240">
        <v>232967878</v>
      </c>
      <c r="D240">
        <v>1.4688023724058199E+18</v>
      </c>
      <c r="E240" t="s">
        <v>95</v>
      </c>
      <c r="G240" t="s">
        <v>28</v>
      </c>
      <c r="H240">
        <v>42.644089999999998</v>
      </c>
      <c r="I240">
        <v>-73.757090000000005</v>
      </c>
      <c r="J240" t="s">
        <v>22</v>
      </c>
      <c r="K240">
        <v>131</v>
      </c>
      <c r="L240">
        <v>2</v>
      </c>
      <c r="M240">
        <v>98</v>
      </c>
      <c r="N240" s="1">
        <v>46170</v>
      </c>
      <c r="O240">
        <v>3.5</v>
      </c>
      <c r="P240">
        <v>14</v>
      </c>
      <c r="Q240">
        <v>77</v>
      </c>
      <c r="R240">
        <v>32</v>
      </c>
    </row>
    <row r="241" spans="1:18" x14ac:dyDescent="0.35">
      <c r="A241">
        <v>1.09799582544273E+18</v>
      </c>
      <c r="B241" t="s">
        <v>374</v>
      </c>
      <c r="C241">
        <v>232967878</v>
      </c>
      <c r="D241">
        <v>1.4688023724058199E+18</v>
      </c>
      <c r="E241" t="s">
        <v>95</v>
      </c>
      <c r="G241" t="s">
        <v>25</v>
      </c>
      <c r="H241">
        <v>42.65269</v>
      </c>
      <c r="I241">
        <v>-73.76567</v>
      </c>
      <c r="J241" t="s">
        <v>22</v>
      </c>
      <c r="K241">
        <v>132</v>
      </c>
      <c r="L241">
        <v>2</v>
      </c>
      <c r="M241">
        <v>70</v>
      </c>
      <c r="N241" s="1">
        <v>46162</v>
      </c>
      <c r="O241">
        <v>2.5299999999999998</v>
      </c>
      <c r="P241">
        <v>14</v>
      </c>
      <c r="Q241">
        <v>37</v>
      </c>
      <c r="R241">
        <v>21</v>
      </c>
    </row>
    <row r="242" spans="1:18" x14ac:dyDescent="0.35">
      <c r="A242">
        <v>1.10087673173296E+18</v>
      </c>
      <c r="B242" t="s">
        <v>375</v>
      </c>
      <c r="C242">
        <v>152762198</v>
      </c>
      <c r="D242">
        <v>1.4684980323377999E+18</v>
      </c>
      <c r="E242" t="s">
        <v>72</v>
      </c>
      <c r="G242" t="s">
        <v>34</v>
      </c>
      <c r="H242">
        <v>42.670079999999999</v>
      </c>
      <c r="I242">
        <v>-73.806910000000002</v>
      </c>
      <c r="J242" t="s">
        <v>22</v>
      </c>
      <c r="K242">
        <v>148</v>
      </c>
      <c r="L242">
        <v>3</v>
      </c>
      <c r="M242">
        <v>51</v>
      </c>
      <c r="N242" s="1">
        <v>46104</v>
      </c>
      <c r="O242">
        <v>1.93</v>
      </c>
      <c r="P242">
        <v>9</v>
      </c>
      <c r="Q242">
        <v>257</v>
      </c>
      <c r="R242">
        <v>21</v>
      </c>
    </row>
    <row r="243" spans="1:18" x14ac:dyDescent="0.35">
      <c r="A243">
        <v>1.10298413002793E+18</v>
      </c>
      <c r="B243" t="s">
        <v>376</v>
      </c>
      <c r="C243">
        <v>37769478</v>
      </c>
      <c r="D243">
        <v>1.4655652968529201E+18</v>
      </c>
      <c r="E243" t="s">
        <v>182</v>
      </c>
      <c r="G243" t="s">
        <v>25</v>
      </c>
      <c r="H243">
        <v>42.652889999999999</v>
      </c>
      <c r="I243">
        <v>-73.768339999999995</v>
      </c>
      <c r="J243" t="s">
        <v>22</v>
      </c>
      <c r="K243">
        <v>181</v>
      </c>
      <c r="L243">
        <v>1</v>
      </c>
      <c r="M243">
        <v>67</v>
      </c>
      <c r="N243" s="1">
        <v>46159</v>
      </c>
      <c r="O243">
        <v>2.42</v>
      </c>
      <c r="P243">
        <v>16</v>
      </c>
      <c r="Q243">
        <v>360</v>
      </c>
      <c r="R243">
        <v>17</v>
      </c>
    </row>
    <row r="244" spans="1:18" x14ac:dyDescent="0.35">
      <c r="A244">
        <v>1.1049770572983601E+18</v>
      </c>
      <c r="B244" t="s">
        <v>377</v>
      </c>
      <c r="C244">
        <v>382970529</v>
      </c>
      <c r="D244">
        <v>1.4635744483223401E+18</v>
      </c>
      <c r="E244" t="s">
        <v>141</v>
      </c>
      <c r="G244" t="s">
        <v>68</v>
      </c>
      <c r="H244">
        <v>42.669429999999998</v>
      </c>
      <c r="I244">
        <v>-73.798820000000006</v>
      </c>
      <c r="J244" t="s">
        <v>31</v>
      </c>
      <c r="K244">
        <v>97</v>
      </c>
      <c r="L244">
        <v>1</v>
      </c>
      <c r="M244">
        <v>56</v>
      </c>
      <c r="N244" s="1">
        <v>45951</v>
      </c>
      <c r="O244">
        <v>2.02</v>
      </c>
      <c r="P244">
        <v>12</v>
      </c>
      <c r="Q244">
        <v>13</v>
      </c>
      <c r="R244">
        <v>7</v>
      </c>
    </row>
    <row r="245" spans="1:18" x14ac:dyDescent="0.35">
      <c r="A245">
        <v>1.1053034618518799E+18</v>
      </c>
      <c r="B245" t="s">
        <v>378</v>
      </c>
      <c r="C245">
        <v>14817455</v>
      </c>
      <c r="D245">
        <v>1.46294756870801E+18</v>
      </c>
      <c r="E245" t="s">
        <v>379</v>
      </c>
      <c r="G245" t="s">
        <v>21</v>
      </c>
      <c r="H245">
        <v>42.657490000000003</v>
      </c>
      <c r="I245">
        <v>-73.752629999999996</v>
      </c>
      <c r="J245" t="s">
        <v>22</v>
      </c>
      <c r="L245">
        <v>2</v>
      </c>
      <c r="M245">
        <v>0</v>
      </c>
      <c r="P245">
        <v>1</v>
      </c>
      <c r="Q245">
        <v>211</v>
      </c>
      <c r="R245">
        <v>0</v>
      </c>
    </row>
    <row r="246" spans="1:18" x14ac:dyDescent="0.35">
      <c r="A246">
        <v>1.11122193568305E+18</v>
      </c>
      <c r="B246" t="s">
        <v>380</v>
      </c>
      <c r="C246">
        <v>418250661</v>
      </c>
      <c r="D246">
        <v>1.4636530710146601E+18</v>
      </c>
      <c r="E246" t="s">
        <v>381</v>
      </c>
      <c r="G246" t="s">
        <v>21</v>
      </c>
      <c r="H246">
        <v>42.656446899999999</v>
      </c>
      <c r="I246">
        <v>-73.750725099999997</v>
      </c>
      <c r="J246" t="s">
        <v>22</v>
      </c>
      <c r="K246">
        <v>125</v>
      </c>
      <c r="L246">
        <v>2</v>
      </c>
      <c r="M246">
        <v>27</v>
      </c>
      <c r="N246" s="1">
        <v>46103</v>
      </c>
      <c r="O246">
        <v>0.99</v>
      </c>
      <c r="P246">
        <v>2</v>
      </c>
      <c r="Q246">
        <v>189</v>
      </c>
      <c r="R246">
        <v>15</v>
      </c>
    </row>
    <row r="247" spans="1:18" x14ac:dyDescent="0.35">
      <c r="A247">
        <v>1.11291201029907E+18</v>
      </c>
      <c r="B247" t="s">
        <v>382</v>
      </c>
      <c r="C247">
        <v>42700558</v>
      </c>
      <c r="D247">
        <v>1.4656343699112901E+18</v>
      </c>
      <c r="E247" t="s">
        <v>383</v>
      </c>
      <c r="G247" t="s">
        <v>34</v>
      </c>
      <c r="H247">
        <v>42.664314400282102</v>
      </c>
      <c r="I247">
        <v>-73.816066542649693</v>
      </c>
      <c r="J247" t="s">
        <v>22</v>
      </c>
      <c r="K247">
        <v>118</v>
      </c>
      <c r="L247">
        <v>3</v>
      </c>
      <c r="M247">
        <v>3</v>
      </c>
      <c r="N247" s="1">
        <v>46094</v>
      </c>
      <c r="O247">
        <v>0.83</v>
      </c>
      <c r="P247">
        <v>1</v>
      </c>
      <c r="Q247">
        <v>112</v>
      </c>
      <c r="R247">
        <v>3</v>
      </c>
    </row>
    <row r="248" spans="1:18" x14ac:dyDescent="0.35">
      <c r="A248">
        <v>1.11969140102064E+18</v>
      </c>
      <c r="B248" t="s">
        <v>384</v>
      </c>
      <c r="C248">
        <v>472965048</v>
      </c>
      <c r="D248">
        <v>1.47013312070142E+18</v>
      </c>
      <c r="E248" t="s">
        <v>385</v>
      </c>
      <c r="G248" t="s">
        <v>25</v>
      </c>
      <c r="H248">
        <v>42.653480000000002</v>
      </c>
      <c r="I248">
        <v>-73.7637</v>
      </c>
      <c r="J248" t="s">
        <v>22</v>
      </c>
      <c r="K248">
        <v>195</v>
      </c>
      <c r="L248">
        <v>1</v>
      </c>
      <c r="M248">
        <v>30</v>
      </c>
      <c r="N248" s="1">
        <v>46151</v>
      </c>
      <c r="O248">
        <v>1.1200000000000001</v>
      </c>
      <c r="P248">
        <v>2</v>
      </c>
      <c r="Q248">
        <v>266</v>
      </c>
      <c r="R248">
        <v>15</v>
      </c>
    </row>
    <row r="249" spans="1:18" x14ac:dyDescent="0.35">
      <c r="A249">
        <v>1.12021261655319E+18</v>
      </c>
      <c r="B249" t="s">
        <v>386</v>
      </c>
      <c r="C249">
        <v>472965048</v>
      </c>
      <c r="D249">
        <v>1.47013312070142E+18</v>
      </c>
      <c r="E249" t="s">
        <v>385</v>
      </c>
      <c r="G249" t="s">
        <v>25</v>
      </c>
      <c r="H249">
        <v>42.651940000000003</v>
      </c>
      <c r="I249">
        <v>-73.765259999999998</v>
      </c>
      <c r="J249" t="s">
        <v>22</v>
      </c>
      <c r="K249">
        <v>210</v>
      </c>
      <c r="L249">
        <v>1</v>
      </c>
      <c r="M249">
        <v>36</v>
      </c>
      <c r="N249" s="1">
        <v>46170</v>
      </c>
      <c r="O249">
        <v>1.34</v>
      </c>
      <c r="P249">
        <v>2</v>
      </c>
      <c r="Q249">
        <v>266</v>
      </c>
      <c r="R249">
        <v>8</v>
      </c>
    </row>
    <row r="250" spans="1:18" x14ac:dyDescent="0.35">
      <c r="A250">
        <v>1.12169990390673E+18</v>
      </c>
      <c r="B250" t="s">
        <v>387</v>
      </c>
      <c r="C250">
        <v>1761578</v>
      </c>
      <c r="D250">
        <v>1.4625777412285199E+18</v>
      </c>
      <c r="E250" t="s">
        <v>272</v>
      </c>
      <c r="G250" t="s">
        <v>25</v>
      </c>
      <c r="H250">
        <v>42.65314</v>
      </c>
      <c r="I250">
        <v>-73.765460000000004</v>
      </c>
      <c r="J250" t="s">
        <v>22</v>
      </c>
      <c r="K250">
        <v>314</v>
      </c>
      <c r="L250">
        <v>2</v>
      </c>
      <c r="M250">
        <v>6</v>
      </c>
      <c r="N250" s="1">
        <v>45706</v>
      </c>
      <c r="O250">
        <v>0.22</v>
      </c>
      <c r="P250">
        <v>2</v>
      </c>
      <c r="Q250">
        <v>161</v>
      </c>
      <c r="R250">
        <v>0</v>
      </c>
    </row>
    <row r="251" spans="1:18" x14ac:dyDescent="0.35">
      <c r="A251">
        <v>1.12323147130454E+18</v>
      </c>
      <c r="B251" t="s">
        <v>388</v>
      </c>
      <c r="C251">
        <v>10279606</v>
      </c>
      <c r="D251">
        <v>1.4628363033181E+18</v>
      </c>
      <c r="E251" t="s">
        <v>389</v>
      </c>
      <c r="G251" t="s">
        <v>37</v>
      </c>
      <c r="H251">
        <v>42.66901</v>
      </c>
      <c r="I251">
        <v>-73.824020000000004</v>
      </c>
      <c r="J251" t="s">
        <v>22</v>
      </c>
      <c r="K251">
        <v>219</v>
      </c>
      <c r="L251">
        <v>2</v>
      </c>
      <c r="M251">
        <v>89</v>
      </c>
      <c r="N251" s="1">
        <v>46168</v>
      </c>
      <c r="O251">
        <v>3.38</v>
      </c>
      <c r="P251">
        <v>3</v>
      </c>
      <c r="Q251">
        <v>293</v>
      </c>
      <c r="R251">
        <v>39</v>
      </c>
    </row>
    <row r="252" spans="1:18" x14ac:dyDescent="0.35">
      <c r="A252">
        <v>1.12455857732501E+18</v>
      </c>
      <c r="B252" t="s">
        <v>390</v>
      </c>
      <c r="C252">
        <v>46312980</v>
      </c>
      <c r="D252">
        <v>1.4656936351291699E+18</v>
      </c>
      <c r="E252" t="s">
        <v>391</v>
      </c>
      <c r="G252" t="s">
        <v>28</v>
      </c>
      <c r="H252">
        <v>42.646031999999998</v>
      </c>
      <c r="I252">
        <v>-73.760481999999996</v>
      </c>
      <c r="J252" t="s">
        <v>22</v>
      </c>
      <c r="K252">
        <v>116</v>
      </c>
      <c r="L252">
        <v>3</v>
      </c>
      <c r="M252">
        <v>7</v>
      </c>
      <c r="N252" s="1">
        <v>46151</v>
      </c>
      <c r="O252">
        <v>0.28000000000000003</v>
      </c>
      <c r="P252">
        <v>2</v>
      </c>
      <c r="Q252">
        <v>216</v>
      </c>
      <c r="R252">
        <v>3</v>
      </c>
    </row>
    <row r="253" spans="1:18" x14ac:dyDescent="0.35">
      <c r="A253">
        <v>1.12463205896803E+18</v>
      </c>
      <c r="B253" t="s">
        <v>392</v>
      </c>
      <c r="C253">
        <v>46312980</v>
      </c>
      <c r="D253">
        <v>1.4656936351291699E+18</v>
      </c>
      <c r="E253" t="s">
        <v>391</v>
      </c>
      <c r="G253" t="s">
        <v>28</v>
      </c>
      <c r="H253">
        <v>42.646031999999998</v>
      </c>
      <c r="I253">
        <v>-73.760481999999996</v>
      </c>
      <c r="J253" t="s">
        <v>22</v>
      </c>
      <c r="K253">
        <v>137</v>
      </c>
      <c r="L253">
        <v>5</v>
      </c>
      <c r="M253">
        <v>8</v>
      </c>
      <c r="N253" s="1">
        <v>46079</v>
      </c>
      <c r="O253">
        <v>0.3</v>
      </c>
      <c r="P253">
        <v>2</v>
      </c>
      <c r="Q253">
        <v>83</v>
      </c>
      <c r="R253">
        <v>3</v>
      </c>
    </row>
    <row r="254" spans="1:18" x14ac:dyDescent="0.35">
      <c r="A254">
        <v>1.12838651043983E+18</v>
      </c>
      <c r="B254" t="s">
        <v>393</v>
      </c>
      <c r="C254">
        <v>502037254</v>
      </c>
      <c r="D254">
        <v>1.4702573379853499E+18</v>
      </c>
      <c r="E254" t="s">
        <v>394</v>
      </c>
      <c r="G254" t="s">
        <v>64</v>
      </c>
      <c r="H254">
        <v>42.64893</v>
      </c>
      <c r="I254">
        <v>-73.768860000000004</v>
      </c>
      <c r="J254" t="s">
        <v>22</v>
      </c>
      <c r="K254">
        <v>86</v>
      </c>
      <c r="L254">
        <v>25</v>
      </c>
      <c r="M254">
        <v>2</v>
      </c>
      <c r="N254" s="1">
        <v>45507</v>
      </c>
      <c r="O254">
        <v>0.08</v>
      </c>
      <c r="P254">
        <v>2</v>
      </c>
      <c r="Q254">
        <v>210</v>
      </c>
      <c r="R254">
        <v>0</v>
      </c>
    </row>
    <row r="255" spans="1:18" x14ac:dyDescent="0.35">
      <c r="A255">
        <v>1.13125847242709E+18</v>
      </c>
      <c r="B255" t="s">
        <v>395</v>
      </c>
      <c r="C255">
        <v>440509865</v>
      </c>
      <c r="D255">
        <v>1.4699888416338601E+18</v>
      </c>
      <c r="E255" t="s">
        <v>396</v>
      </c>
      <c r="G255" t="s">
        <v>37</v>
      </c>
      <c r="H255">
        <v>42.674853495878402</v>
      </c>
      <c r="I255">
        <v>-73.816924450926194</v>
      </c>
      <c r="J255" t="s">
        <v>22</v>
      </c>
      <c r="K255">
        <v>206</v>
      </c>
      <c r="L255">
        <v>1</v>
      </c>
      <c r="M255">
        <v>122</v>
      </c>
      <c r="N255" s="1">
        <v>46186</v>
      </c>
      <c r="O255">
        <v>5.41</v>
      </c>
      <c r="P255">
        <v>1</v>
      </c>
      <c r="Q255">
        <v>328</v>
      </c>
      <c r="R255">
        <v>71</v>
      </c>
    </row>
    <row r="256" spans="1:18" x14ac:dyDescent="0.35">
      <c r="A256">
        <v>1.13494044525135E+18</v>
      </c>
      <c r="B256" t="s">
        <v>397</v>
      </c>
      <c r="C256">
        <v>521669673</v>
      </c>
      <c r="D256">
        <v>1.47034734030819E+18</v>
      </c>
      <c r="E256" t="s">
        <v>299</v>
      </c>
      <c r="G256" t="s">
        <v>21</v>
      </c>
      <c r="H256">
        <v>42.659089999999999</v>
      </c>
      <c r="I256">
        <v>-73.756910000000005</v>
      </c>
      <c r="J256" t="s">
        <v>22</v>
      </c>
      <c r="K256">
        <v>90</v>
      </c>
      <c r="L256">
        <v>14</v>
      </c>
      <c r="M256">
        <v>2</v>
      </c>
      <c r="N256" s="1">
        <v>45792</v>
      </c>
      <c r="O256">
        <v>0.08</v>
      </c>
      <c r="P256">
        <v>4</v>
      </c>
      <c r="Q256">
        <v>268</v>
      </c>
      <c r="R256">
        <v>0</v>
      </c>
    </row>
    <row r="257" spans="1:18" x14ac:dyDescent="0.35">
      <c r="A257">
        <v>1.13581263023789E+18</v>
      </c>
      <c r="B257" t="s">
        <v>398</v>
      </c>
      <c r="C257">
        <v>522436003</v>
      </c>
      <c r="D257">
        <v>1.47035066741235E+18</v>
      </c>
      <c r="E257" t="s">
        <v>399</v>
      </c>
      <c r="G257" t="s">
        <v>68</v>
      </c>
      <c r="H257">
        <v>42.668961400000001</v>
      </c>
      <c r="I257">
        <v>-73.789037899999997</v>
      </c>
      <c r="J257" t="s">
        <v>31</v>
      </c>
      <c r="K257">
        <v>46</v>
      </c>
      <c r="L257">
        <v>28</v>
      </c>
      <c r="M257">
        <v>0</v>
      </c>
      <c r="P257">
        <v>6</v>
      </c>
      <c r="Q257">
        <v>235</v>
      </c>
      <c r="R257">
        <v>0</v>
      </c>
    </row>
    <row r="258" spans="1:18" x14ac:dyDescent="0.35">
      <c r="A258">
        <v>1.13643350094091E+18</v>
      </c>
      <c r="B258" t="s">
        <v>400</v>
      </c>
      <c r="C258">
        <v>349460842</v>
      </c>
      <c r="D258">
        <v>1.4696952540817001E+18</v>
      </c>
      <c r="E258" t="s">
        <v>122</v>
      </c>
      <c r="G258" t="s">
        <v>68</v>
      </c>
      <c r="H258">
        <v>42.663679999999999</v>
      </c>
      <c r="I258">
        <v>-73.781279999999995</v>
      </c>
      <c r="J258" t="s">
        <v>31</v>
      </c>
      <c r="K258">
        <v>78</v>
      </c>
      <c r="L258">
        <v>6</v>
      </c>
      <c r="M258">
        <v>0</v>
      </c>
      <c r="P258">
        <v>21</v>
      </c>
      <c r="Q258">
        <v>364</v>
      </c>
      <c r="R258">
        <v>0</v>
      </c>
    </row>
    <row r="259" spans="1:18" x14ac:dyDescent="0.35">
      <c r="A259">
        <v>1.14152548844237E+18</v>
      </c>
      <c r="B259" t="s">
        <v>401</v>
      </c>
      <c r="C259">
        <v>522436003</v>
      </c>
      <c r="D259">
        <v>1.47035066741235E+18</v>
      </c>
      <c r="E259" t="s">
        <v>399</v>
      </c>
      <c r="G259" t="s">
        <v>68</v>
      </c>
      <c r="H259">
        <v>42.668961400000001</v>
      </c>
      <c r="I259">
        <v>-73.789037899999997</v>
      </c>
      <c r="J259" t="s">
        <v>31</v>
      </c>
      <c r="K259">
        <v>38</v>
      </c>
      <c r="L259">
        <v>28</v>
      </c>
      <c r="M259">
        <v>2</v>
      </c>
      <c r="N259" s="1">
        <v>45940</v>
      </c>
      <c r="O259">
        <v>0.19</v>
      </c>
      <c r="P259">
        <v>6</v>
      </c>
      <c r="Q259">
        <v>236</v>
      </c>
      <c r="R259">
        <v>2</v>
      </c>
    </row>
    <row r="260" spans="1:18" x14ac:dyDescent="0.35">
      <c r="A260">
        <v>1.14282894086432E+18</v>
      </c>
      <c r="B260" t="s">
        <v>402</v>
      </c>
      <c r="C260">
        <v>574235481</v>
      </c>
      <c r="D260">
        <v>1.4705681282066701E+18</v>
      </c>
      <c r="E260" t="s">
        <v>403</v>
      </c>
      <c r="G260" t="s">
        <v>117</v>
      </c>
      <c r="H260">
        <v>42.640940000000001</v>
      </c>
      <c r="I260">
        <v>-73.776700000000005</v>
      </c>
      <c r="J260" t="s">
        <v>22</v>
      </c>
      <c r="L260">
        <v>2</v>
      </c>
      <c r="M260">
        <v>4</v>
      </c>
      <c r="N260" s="1">
        <v>45479</v>
      </c>
      <c r="O260">
        <v>0.15</v>
      </c>
      <c r="P260">
        <v>1</v>
      </c>
      <c r="Q260">
        <v>0</v>
      </c>
      <c r="R260">
        <v>0</v>
      </c>
    </row>
    <row r="261" spans="1:18" x14ac:dyDescent="0.35">
      <c r="A261">
        <v>1.1428320116921201E+18</v>
      </c>
      <c r="B261" t="s">
        <v>404</v>
      </c>
      <c r="C261">
        <v>129023424</v>
      </c>
      <c r="D261">
        <v>1.4682945627325599E+18</v>
      </c>
      <c r="E261" t="s">
        <v>405</v>
      </c>
      <c r="G261" t="s">
        <v>68</v>
      </c>
      <c r="H261">
        <v>42.671050000000001</v>
      </c>
      <c r="I261">
        <v>-73.799499999999995</v>
      </c>
      <c r="J261" t="s">
        <v>22</v>
      </c>
      <c r="K261">
        <v>182</v>
      </c>
      <c r="L261">
        <v>2</v>
      </c>
      <c r="M261">
        <v>11</v>
      </c>
      <c r="N261" s="1">
        <v>46167</v>
      </c>
      <c r="O261">
        <v>0.44</v>
      </c>
      <c r="P261">
        <v>1</v>
      </c>
      <c r="Q261">
        <v>297</v>
      </c>
      <c r="R261">
        <v>5</v>
      </c>
    </row>
    <row r="262" spans="1:18" x14ac:dyDescent="0.35">
      <c r="A262">
        <v>1.1462412608715599E+18</v>
      </c>
      <c r="B262" t="s">
        <v>406</v>
      </c>
      <c r="C262">
        <v>233515764</v>
      </c>
      <c r="D262">
        <v>1.46924386914754E+18</v>
      </c>
      <c r="E262" t="s">
        <v>359</v>
      </c>
      <c r="G262" t="s">
        <v>25</v>
      </c>
      <c r="H262">
        <v>42.6524924</v>
      </c>
      <c r="I262">
        <v>-73.767436099999998</v>
      </c>
      <c r="J262" t="s">
        <v>22</v>
      </c>
      <c r="K262">
        <v>157</v>
      </c>
      <c r="L262">
        <v>1</v>
      </c>
      <c r="M262">
        <v>119</v>
      </c>
      <c r="N262" s="1">
        <v>46159</v>
      </c>
      <c r="O262">
        <v>4.63</v>
      </c>
      <c r="P262">
        <v>8</v>
      </c>
      <c r="Q262">
        <v>199</v>
      </c>
      <c r="R262">
        <v>60</v>
      </c>
    </row>
    <row r="263" spans="1:18" x14ac:dyDescent="0.35">
      <c r="A263">
        <v>1.1470920197935E+18</v>
      </c>
      <c r="B263" t="s">
        <v>407</v>
      </c>
      <c r="C263">
        <v>233515764</v>
      </c>
      <c r="D263">
        <v>1.46924386914754E+18</v>
      </c>
      <c r="E263" t="s">
        <v>359</v>
      </c>
      <c r="G263" t="s">
        <v>25</v>
      </c>
      <c r="H263">
        <v>42.652740000000001</v>
      </c>
      <c r="I263">
        <v>-73.767790000000005</v>
      </c>
      <c r="J263" t="s">
        <v>22</v>
      </c>
      <c r="K263">
        <v>128</v>
      </c>
      <c r="L263">
        <v>2</v>
      </c>
      <c r="M263">
        <v>102</v>
      </c>
      <c r="N263" s="1">
        <v>46167</v>
      </c>
      <c r="O263">
        <v>3.95</v>
      </c>
      <c r="P263">
        <v>8</v>
      </c>
      <c r="Q263">
        <v>112</v>
      </c>
      <c r="R263">
        <v>30</v>
      </c>
    </row>
    <row r="264" spans="1:18" x14ac:dyDescent="0.35">
      <c r="A264">
        <v>1.15061156891581E+18</v>
      </c>
      <c r="B264" t="s">
        <v>408</v>
      </c>
      <c r="C264">
        <v>576083630</v>
      </c>
      <c r="D264">
        <v>1.4705737098382999E+18</v>
      </c>
      <c r="E264" t="s">
        <v>409</v>
      </c>
      <c r="G264" t="s">
        <v>25</v>
      </c>
      <c r="H264">
        <v>42.6586049</v>
      </c>
      <c r="I264">
        <v>-73.768032899999994</v>
      </c>
      <c r="J264" t="s">
        <v>22</v>
      </c>
      <c r="K264">
        <v>164</v>
      </c>
      <c r="L264">
        <v>2</v>
      </c>
      <c r="M264">
        <v>19</v>
      </c>
      <c r="N264" s="1">
        <v>46079</v>
      </c>
      <c r="O264">
        <v>0.75</v>
      </c>
      <c r="P264">
        <v>1</v>
      </c>
      <c r="Q264">
        <v>227</v>
      </c>
      <c r="R264">
        <v>8</v>
      </c>
    </row>
    <row r="265" spans="1:18" x14ac:dyDescent="0.35">
      <c r="A265">
        <v>1.15805955225199E+18</v>
      </c>
      <c r="B265" t="s">
        <v>410</v>
      </c>
      <c r="C265">
        <v>349460842</v>
      </c>
      <c r="D265">
        <v>1.4696952540817001E+18</v>
      </c>
      <c r="E265" t="s">
        <v>122</v>
      </c>
      <c r="G265" t="s">
        <v>47</v>
      </c>
      <c r="H265">
        <v>42.664279999999998</v>
      </c>
      <c r="I265">
        <v>-73.792490000000001</v>
      </c>
      <c r="J265" t="s">
        <v>31</v>
      </c>
      <c r="K265">
        <v>72</v>
      </c>
      <c r="L265">
        <v>28</v>
      </c>
      <c r="M265">
        <v>2</v>
      </c>
      <c r="N265" s="1">
        <v>45625</v>
      </c>
      <c r="O265">
        <v>0.09</v>
      </c>
      <c r="P265">
        <v>21</v>
      </c>
      <c r="Q265">
        <v>269</v>
      </c>
      <c r="R265">
        <v>0</v>
      </c>
    </row>
    <row r="266" spans="1:18" x14ac:dyDescent="0.35">
      <c r="A266">
        <v>1.15823970142606E+18</v>
      </c>
      <c r="B266" t="s">
        <v>411</v>
      </c>
      <c r="C266">
        <v>502037254</v>
      </c>
      <c r="D266">
        <v>1.4702573379853499E+18</v>
      </c>
      <c r="E266" t="s">
        <v>394</v>
      </c>
      <c r="G266" t="s">
        <v>21</v>
      </c>
      <c r="H266">
        <v>42.658450000000002</v>
      </c>
      <c r="I266">
        <v>-73.759259999999998</v>
      </c>
      <c r="J266" t="s">
        <v>22</v>
      </c>
      <c r="K266">
        <v>108</v>
      </c>
      <c r="L266">
        <v>30</v>
      </c>
      <c r="M266">
        <v>0</v>
      </c>
      <c r="P266">
        <v>2</v>
      </c>
      <c r="Q266">
        <v>269</v>
      </c>
      <c r="R266">
        <v>0</v>
      </c>
    </row>
    <row r="267" spans="1:18" x14ac:dyDescent="0.35">
      <c r="A267">
        <v>1.1646511755856E+18</v>
      </c>
      <c r="B267" t="s">
        <v>412</v>
      </c>
      <c r="C267">
        <v>47625981</v>
      </c>
      <c r="D267">
        <v>1.46270726328816E+18</v>
      </c>
      <c r="E267" t="s">
        <v>132</v>
      </c>
      <c r="G267" t="s">
        <v>64</v>
      </c>
      <c r="H267">
        <v>42.647269999999999</v>
      </c>
      <c r="I267">
        <v>-73.767579999999995</v>
      </c>
      <c r="J267" t="s">
        <v>22</v>
      </c>
      <c r="K267">
        <v>216</v>
      </c>
      <c r="L267">
        <v>1</v>
      </c>
      <c r="M267">
        <v>16</v>
      </c>
      <c r="N267" s="1">
        <v>46067</v>
      </c>
      <c r="O267">
        <v>0.67</v>
      </c>
      <c r="P267">
        <v>16</v>
      </c>
      <c r="Q267">
        <v>309</v>
      </c>
      <c r="R267">
        <v>2</v>
      </c>
    </row>
    <row r="268" spans="1:18" x14ac:dyDescent="0.35">
      <c r="A268">
        <v>1.1717958747994501E+18</v>
      </c>
      <c r="B268" t="s">
        <v>413</v>
      </c>
      <c r="C268">
        <v>232967878</v>
      </c>
      <c r="D268">
        <v>1.4688023724058199E+18</v>
      </c>
      <c r="E268" t="s">
        <v>95</v>
      </c>
      <c r="G268" t="s">
        <v>25</v>
      </c>
      <c r="H268">
        <v>42.65314</v>
      </c>
      <c r="I268">
        <v>-73.765299999999996</v>
      </c>
      <c r="J268" t="s">
        <v>22</v>
      </c>
      <c r="K268">
        <v>235</v>
      </c>
      <c r="L268">
        <v>2</v>
      </c>
      <c r="M268">
        <v>79</v>
      </c>
      <c r="N268" s="1">
        <v>46155</v>
      </c>
      <c r="O268">
        <v>3.21</v>
      </c>
      <c r="P268">
        <v>14</v>
      </c>
      <c r="Q268">
        <v>93</v>
      </c>
      <c r="R268">
        <v>29</v>
      </c>
    </row>
    <row r="269" spans="1:18" x14ac:dyDescent="0.35">
      <c r="A269">
        <v>1.1733908581017999E+18</v>
      </c>
      <c r="B269" t="s">
        <v>414</v>
      </c>
      <c r="C269">
        <v>232967878</v>
      </c>
      <c r="D269">
        <v>1.4688023724058199E+18</v>
      </c>
      <c r="E269" t="s">
        <v>95</v>
      </c>
      <c r="G269" t="s">
        <v>64</v>
      </c>
      <c r="H269">
        <v>42.644419999999997</v>
      </c>
      <c r="I269">
        <v>-73.779380000000003</v>
      </c>
      <c r="J269" t="s">
        <v>22</v>
      </c>
      <c r="K269">
        <v>400</v>
      </c>
      <c r="L269">
        <v>2</v>
      </c>
      <c r="M269">
        <v>32</v>
      </c>
      <c r="N269" s="1">
        <v>46159</v>
      </c>
      <c r="O269">
        <v>1.38</v>
      </c>
      <c r="P269">
        <v>14</v>
      </c>
      <c r="Q269">
        <v>68</v>
      </c>
      <c r="R269">
        <v>13</v>
      </c>
    </row>
    <row r="270" spans="1:18" x14ac:dyDescent="0.35">
      <c r="A270">
        <v>1.1745446433871099E+18</v>
      </c>
      <c r="B270" t="s">
        <v>415</v>
      </c>
      <c r="C270">
        <v>441054845</v>
      </c>
      <c r="D270">
        <v>1.4699909770349E+18</v>
      </c>
      <c r="E270" t="s">
        <v>301</v>
      </c>
      <c r="G270" t="s">
        <v>68</v>
      </c>
      <c r="H270">
        <v>42.668939999999999</v>
      </c>
      <c r="I270">
        <v>-73.795490000000001</v>
      </c>
      <c r="J270" t="s">
        <v>22</v>
      </c>
      <c r="L270">
        <v>2</v>
      </c>
      <c r="M270">
        <v>76</v>
      </c>
      <c r="N270" s="1">
        <v>46152</v>
      </c>
      <c r="O270">
        <v>3.09</v>
      </c>
      <c r="P270">
        <v>2</v>
      </c>
      <c r="Q270">
        <v>0</v>
      </c>
      <c r="R270">
        <v>21</v>
      </c>
    </row>
    <row r="271" spans="1:18" x14ac:dyDescent="0.35">
      <c r="A271">
        <v>1.18257446143795E+18</v>
      </c>
      <c r="B271" t="s">
        <v>416</v>
      </c>
      <c r="C271">
        <v>42708277</v>
      </c>
      <c r="D271">
        <v>1.4656344824728699E+18</v>
      </c>
      <c r="E271" t="s">
        <v>354</v>
      </c>
      <c r="G271" t="s">
        <v>25</v>
      </c>
      <c r="H271">
        <v>42.653420500000003</v>
      </c>
      <c r="I271">
        <v>-73.763975799999997</v>
      </c>
      <c r="J271" t="s">
        <v>22</v>
      </c>
      <c r="K271">
        <v>200</v>
      </c>
      <c r="L271">
        <v>1</v>
      </c>
      <c r="M271">
        <v>39</v>
      </c>
      <c r="N271" s="1">
        <v>46165</v>
      </c>
      <c r="O271">
        <v>1.62</v>
      </c>
      <c r="P271">
        <v>5</v>
      </c>
      <c r="Q271">
        <v>55</v>
      </c>
      <c r="R271">
        <v>13</v>
      </c>
    </row>
    <row r="272" spans="1:18" x14ac:dyDescent="0.35">
      <c r="A272">
        <v>1.1834578529721201E+18</v>
      </c>
      <c r="B272" t="s">
        <v>417</v>
      </c>
      <c r="C272">
        <v>42708277</v>
      </c>
      <c r="D272">
        <v>1.4656344824728699E+18</v>
      </c>
      <c r="E272" t="s">
        <v>354</v>
      </c>
      <c r="G272" t="s">
        <v>25</v>
      </c>
      <c r="H272">
        <v>42.652270000000001</v>
      </c>
      <c r="I272">
        <v>-73.764600000000002</v>
      </c>
      <c r="J272" t="s">
        <v>22</v>
      </c>
      <c r="K272">
        <v>277</v>
      </c>
      <c r="L272">
        <v>1</v>
      </c>
      <c r="M272">
        <v>43</v>
      </c>
      <c r="N272" s="1">
        <v>46125</v>
      </c>
      <c r="O272">
        <v>1.84</v>
      </c>
      <c r="P272">
        <v>5</v>
      </c>
      <c r="Q272">
        <v>36</v>
      </c>
      <c r="R272">
        <v>19</v>
      </c>
    </row>
    <row r="273" spans="1:18" x14ac:dyDescent="0.35">
      <c r="A273">
        <v>1.18346052340992E+18</v>
      </c>
      <c r="B273" t="s">
        <v>418</v>
      </c>
      <c r="C273">
        <v>42708277</v>
      </c>
      <c r="D273">
        <v>1.4656344824728699E+18</v>
      </c>
      <c r="E273" t="s">
        <v>354</v>
      </c>
      <c r="G273" t="s">
        <v>25</v>
      </c>
      <c r="H273">
        <v>42.6524</v>
      </c>
      <c r="I273">
        <v>-73.763509999999997</v>
      </c>
      <c r="J273" t="s">
        <v>22</v>
      </c>
      <c r="K273">
        <v>187</v>
      </c>
      <c r="L273">
        <v>1</v>
      </c>
      <c r="M273">
        <v>40</v>
      </c>
      <c r="N273" s="1">
        <v>46160</v>
      </c>
      <c r="O273">
        <v>1.67</v>
      </c>
      <c r="P273">
        <v>5</v>
      </c>
      <c r="Q273">
        <v>54</v>
      </c>
      <c r="R273">
        <v>21</v>
      </c>
    </row>
    <row r="274" spans="1:18" x14ac:dyDescent="0.35">
      <c r="A274">
        <v>1.18553798072462E+18</v>
      </c>
      <c r="B274" t="s">
        <v>419</v>
      </c>
      <c r="C274">
        <v>29483818</v>
      </c>
      <c r="D274">
        <v>1.46543398480833E+18</v>
      </c>
      <c r="E274" t="s">
        <v>420</v>
      </c>
      <c r="G274" t="s">
        <v>25</v>
      </c>
      <c r="H274">
        <v>42.653269999999999</v>
      </c>
      <c r="I274">
        <v>-73.761809999999997</v>
      </c>
      <c r="J274" t="s">
        <v>22</v>
      </c>
      <c r="K274">
        <v>134</v>
      </c>
      <c r="L274">
        <v>1</v>
      </c>
      <c r="M274">
        <v>249</v>
      </c>
      <c r="N274" s="1">
        <v>46187</v>
      </c>
      <c r="O274">
        <v>10.43</v>
      </c>
      <c r="P274">
        <v>1</v>
      </c>
      <c r="Q274">
        <v>123</v>
      </c>
      <c r="R274">
        <v>116</v>
      </c>
    </row>
    <row r="275" spans="1:18" x14ac:dyDescent="0.35">
      <c r="A275">
        <v>1.1855914937445801E+18</v>
      </c>
      <c r="B275" t="s">
        <v>421</v>
      </c>
      <c r="C275">
        <v>349460842</v>
      </c>
      <c r="D275">
        <v>1.4696952540817001E+18</v>
      </c>
      <c r="E275" t="s">
        <v>122</v>
      </c>
      <c r="G275" t="s">
        <v>34</v>
      </c>
      <c r="H275">
        <v>42.666119999999999</v>
      </c>
      <c r="I275">
        <v>-73.792749999999998</v>
      </c>
      <c r="J275" t="s">
        <v>31</v>
      </c>
      <c r="K275">
        <v>47</v>
      </c>
      <c r="L275">
        <v>28</v>
      </c>
      <c r="M275">
        <v>0</v>
      </c>
      <c r="P275">
        <v>21</v>
      </c>
      <c r="Q275">
        <v>209</v>
      </c>
      <c r="R275">
        <v>0</v>
      </c>
    </row>
    <row r="276" spans="1:18" x14ac:dyDescent="0.35">
      <c r="A276">
        <v>1.1875911756985001E+18</v>
      </c>
      <c r="B276" t="s">
        <v>422</v>
      </c>
      <c r="C276">
        <v>232967878</v>
      </c>
      <c r="D276">
        <v>1.4688023724058199E+18</v>
      </c>
      <c r="E276" t="s">
        <v>95</v>
      </c>
      <c r="G276" t="s">
        <v>51</v>
      </c>
      <c r="H276">
        <v>42.65502</v>
      </c>
      <c r="I276">
        <v>-73.791830000000004</v>
      </c>
      <c r="J276" t="s">
        <v>22</v>
      </c>
      <c r="K276">
        <v>343</v>
      </c>
      <c r="L276">
        <v>1</v>
      </c>
      <c r="M276">
        <v>29</v>
      </c>
      <c r="N276" s="1">
        <v>45857</v>
      </c>
      <c r="O276">
        <v>1.22</v>
      </c>
      <c r="P276">
        <v>14</v>
      </c>
      <c r="Q276">
        <v>62</v>
      </c>
      <c r="R276">
        <v>1</v>
      </c>
    </row>
    <row r="277" spans="1:18" x14ac:dyDescent="0.35">
      <c r="A277">
        <v>1.18924510087455E+18</v>
      </c>
      <c r="B277" t="s">
        <v>423</v>
      </c>
      <c r="C277">
        <v>37769478</v>
      </c>
      <c r="D277">
        <v>1.4655652968529201E+18</v>
      </c>
      <c r="E277" t="s">
        <v>182</v>
      </c>
      <c r="G277" t="s">
        <v>25</v>
      </c>
      <c r="H277">
        <v>42.653329999999997</v>
      </c>
      <c r="I277">
        <v>-73.771100000000004</v>
      </c>
      <c r="J277" t="s">
        <v>22</v>
      </c>
      <c r="K277">
        <v>183</v>
      </c>
      <c r="L277">
        <v>1</v>
      </c>
      <c r="M277">
        <v>50</v>
      </c>
      <c r="N277" s="1">
        <v>46174</v>
      </c>
      <c r="O277">
        <v>2.35</v>
      </c>
      <c r="P277">
        <v>16</v>
      </c>
      <c r="Q277">
        <v>349</v>
      </c>
      <c r="R277">
        <v>26</v>
      </c>
    </row>
    <row r="278" spans="1:18" x14ac:dyDescent="0.35">
      <c r="A278">
        <v>1.18924917939213E+18</v>
      </c>
      <c r="B278" t="s">
        <v>424</v>
      </c>
      <c r="C278">
        <v>37769478</v>
      </c>
      <c r="D278">
        <v>1.4655652968529201E+18</v>
      </c>
      <c r="E278" t="s">
        <v>182</v>
      </c>
      <c r="G278" t="s">
        <v>47</v>
      </c>
      <c r="H278">
        <v>42.662149999999997</v>
      </c>
      <c r="I278">
        <v>-73.790480000000002</v>
      </c>
      <c r="J278" t="s">
        <v>22</v>
      </c>
      <c r="K278">
        <v>179</v>
      </c>
      <c r="L278">
        <v>1</v>
      </c>
      <c r="M278">
        <v>56</v>
      </c>
      <c r="N278" s="1">
        <v>46159</v>
      </c>
      <c r="O278">
        <v>2.39</v>
      </c>
      <c r="P278">
        <v>16</v>
      </c>
      <c r="Q278">
        <v>320</v>
      </c>
      <c r="R278">
        <v>21</v>
      </c>
    </row>
    <row r="279" spans="1:18" x14ac:dyDescent="0.35">
      <c r="A279">
        <v>1.1918953194396101E+18</v>
      </c>
      <c r="B279" t="s">
        <v>425</v>
      </c>
      <c r="C279">
        <v>32379616</v>
      </c>
      <c r="D279">
        <v>1.4654754916985201E+18</v>
      </c>
      <c r="E279" t="s">
        <v>426</v>
      </c>
      <c r="G279" t="s">
        <v>47</v>
      </c>
      <c r="H279">
        <v>42.660529099999998</v>
      </c>
      <c r="I279">
        <v>-73.7831549</v>
      </c>
      <c r="J279" t="s">
        <v>31</v>
      </c>
      <c r="K279">
        <v>33</v>
      </c>
      <c r="L279">
        <v>28</v>
      </c>
      <c r="M279">
        <v>2</v>
      </c>
      <c r="N279" s="1">
        <v>46157</v>
      </c>
      <c r="O279">
        <v>0.55000000000000004</v>
      </c>
      <c r="P279">
        <v>8</v>
      </c>
      <c r="Q279">
        <v>363</v>
      </c>
      <c r="R279">
        <v>2</v>
      </c>
    </row>
    <row r="280" spans="1:18" x14ac:dyDescent="0.35">
      <c r="A280">
        <v>1.1964590235451599E+18</v>
      </c>
      <c r="B280" t="s">
        <v>427</v>
      </c>
      <c r="C280">
        <v>121680792</v>
      </c>
      <c r="D280">
        <v>1.46823542108925E+18</v>
      </c>
      <c r="E280" t="s">
        <v>286</v>
      </c>
      <c r="G280" t="s">
        <v>25</v>
      </c>
      <c r="H280">
        <v>42.655732</v>
      </c>
      <c r="I280">
        <v>-73.764735000000002</v>
      </c>
      <c r="J280" t="s">
        <v>22</v>
      </c>
      <c r="K280">
        <v>294</v>
      </c>
      <c r="L280">
        <v>5</v>
      </c>
      <c r="M280">
        <v>0</v>
      </c>
      <c r="P280">
        <v>4</v>
      </c>
      <c r="Q280">
        <v>350</v>
      </c>
      <c r="R280">
        <v>0</v>
      </c>
    </row>
    <row r="281" spans="1:18" x14ac:dyDescent="0.35">
      <c r="A281">
        <v>1.1985921201692001E+18</v>
      </c>
      <c r="B281" t="s">
        <v>428</v>
      </c>
      <c r="C281">
        <v>349460842</v>
      </c>
      <c r="D281">
        <v>1.4696952540817001E+18</v>
      </c>
      <c r="E281" t="s">
        <v>122</v>
      </c>
      <c r="G281" t="s">
        <v>47</v>
      </c>
      <c r="H281">
        <v>42.662689999999998</v>
      </c>
      <c r="I281">
        <v>-73.781630000000007</v>
      </c>
      <c r="J281" t="s">
        <v>31</v>
      </c>
      <c r="K281">
        <v>71</v>
      </c>
      <c r="L281">
        <v>30</v>
      </c>
      <c r="M281">
        <v>0</v>
      </c>
      <c r="P281">
        <v>21</v>
      </c>
      <c r="Q281">
        <v>350</v>
      </c>
      <c r="R281">
        <v>0</v>
      </c>
    </row>
    <row r="282" spans="1:18" x14ac:dyDescent="0.35">
      <c r="A282">
        <v>1.20152532455155E+18</v>
      </c>
      <c r="B282" t="s">
        <v>429</v>
      </c>
      <c r="C282">
        <v>413566290</v>
      </c>
      <c r="D282">
        <v>1.4698835712345999E+18</v>
      </c>
      <c r="E282" t="s">
        <v>430</v>
      </c>
      <c r="G282" t="s">
        <v>51</v>
      </c>
      <c r="H282">
        <v>42.655067359287898</v>
      </c>
      <c r="I282">
        <v>-73.797684609889899</v>
      </c>
      <c r="J282" t="s">
        <v>31</v>
      </c>
      <c r="K282">
        <v>55</v>
      </c>
      <c r="L282">
        <v>30</v>
      </c>
      <c r="M282">
        <v>6</v>
      </c>
      <c r="N282" s="1">
        <v>46009</v>
      </c>
      <c r="O282">
        <v>0.26</v>
      </c>
      <c r="P282">
        <v>3</v>
      </c>
      <c r="Q282">
        <v>47</v>
      </c>
      <c r="R282">
        <v>1</v>
      </c>
    </row>
    <row r="283" spans="1:18" x14ac:dyDescent="0.35">
      <c r="A283">
        <v>1.2086951758972401E+18</v>
      </c>
      <c r="B283" t="s">
        <v>431</v>
      </c>
      <c r="C283">
        <v>349460842</v>
      </c>
      <c r="D283">
        <v>1.4696952540817001E+18</v>
      </c>
      <c r="E283" t="s">
        <v>122</v>
      </c>
      <c r="G283" t="s">
        <v>47</v>
      </c>
      <c r="H283">
        <v>42.663899999999998</v>
      </c>
      <c r="I283">
        <v>-73.792699999999996</v>
      </c>
      <c r="J283" t="s">
        <v>31</v>
      </c>
      <c r="K283">
        <v>72</v>
      </c>
      <c r="L283">
        <v>28</v>
      </c>
      <c r="M283">
        <v>0</v>
      </c>
      <c r="P283">
        <v>21</v>
      </c>
      <c r="Q283">
        <v>364</v>
      </c>
      <c r="R283">
        <v>0</v>
      </c>
    </row>
    <row r="284" spans="1:18" x14ac:dyDescent="0.35">
      <c r="A284">
        <v>1.2093138144375199E+18</v>
      </c>
      <c r="B284" t="s">
        <v>432</v>
      </c>
      <c r="C284">
        <v>20536619</v>
      </c>
      <c r="D284">
        <v>1.4626135294231501E+18</v>
      </c>
      <c r="E284" t="s">
        <v>276</v>
      </c>
      <c r="G284" t="s">
        <v>68</v>
      </c>
      <c r="H284">
        <v>42.673180000000002</v>
      </c>
      <c r="I284">
        <v>-73.793450000000007</v>
      </c>
      <c r="J284" t="s">
        <v>31</v>
      </c>
      <c r="K284">
        <v>97</v>
      </c>
      <c r="L284">
        <v>4</v>
      </c>
      <c r="M284">
        <v>4</v>
      </c>
      <c r="N284" s="1">
        <v>45870</v>
      </c>
      <c r="O284">
        <v>0.19</v>
      </c>
      <c r="P284">
        <v>13</v>
      </c>
      <c r="Q284">
        <v>88</v>
      </c>
      <c r="R284">
        <v>2</v>
      </c>
    </row>
    <row r="285" spans="1:18" x14ac:dyDescent="0.35">
      <c r="A285">
        <v>1.2241844458577101E+18</v>
      </c>
      <c r="B285" t="s">
        <v>433</v>
      </c>
      <c r="C285">
        <v>522436003</v>
      </c>
      <c r="D285">
        <v>1.47035066741235E+18</v>
      </c>
      <c r="E285" t="s">
        <v>399</v>
      </c>
      <c r="G285" t="s">
        <v>68</v>
      </c>
      <c r="H285">
        <v>42.668590000000002</v>
      </c>
      <c r="I285">
        <v>-73.788319999999999</v>
      </c>
      <c r="J285" t="s">
        <v>31</v>
      </c>
      <c r="K285">
        <v>38</v>
      </c>
      <c r="L285">
        <v>28</v>
      </c>
      <c r="M285">
        <v>4</v>
      </c>
      <c r="N285" s="1">
        <v>46182</v>
      </c>
      <c r="O285">
        <v>0.19</v>
      </c>
      <c r="P285">
        <v>6</v>
      </c>
      <c r="Q285">
        <v>336</v>
      </c>
      <c r="R285">
        <v>2</v>
      </c>
    </row>
    <row r="286" spans="1:18" x14ac:dyDescent="0.35">
      <c r="A286">
        <v>1.22683535302592E+18</v>
      </c>
      <c r="B286" t="s">
        <v>434</v>
      </c>
      <c r="C286">
        <v>522436003</v>
      </c>
      <c r="D286">
        <v>1.47035066741235E+18</v>
      </c>
      <c r="E286" t="s">
        <v>399</v>
      </c>
      <c r="G286" t="s">
        <v>68</v>
      </c>
      <c r="H286">
        <v>42.668940399999997</v>
      </c>
      <c r="I286">
        <v>-73.789006399999906</v>
      </c>
      <c r="J286" t="s">
        <v>31</v>
      </c>
      <c r="K286">
        <v>86</v>
      </c>
      <c r="L286">
        <v>1</v>
      </c>
      <c r="M286">
        <v>0</v>
      </c>
      <c r="P286">
        <v>6</v>
      </c>
      <c r="Q286">
        <v>350</v>
      </c>
      <c r="R286">
        <v>0</v>
      </c>
    </row>
    <row r="287" spans="1:18" x14ac:dyDescent="0.35">
      <c r="A287">
        <v>1.22749419639023E+18</v>
      </c>
      <c r="B287" t="s">
        <v>435</v>
      </c>
      <c r="C287">
        <v>52123673</v>
      </c>
      <c r="D287">
        <v>1.4658296871053901E+18</v>
      </c>
      <c r="E287" t="s">
        <v>409</v>
      </c>
      <c r="G287" t="s">
        <v>68</v>
      </c>
      <c r="H287">
        <v>42.669550000000001</v>
      </c>
      <c r="I287">
        <v>-73.785420000000002</v>
      </c>
      <c r="J287" t="s">
        <v>22</v>
      </c>
      <c r="K287">
        <v>194</v>
      </c>
      <c r="L287">
        <v>3</v>
      </c>
      <c r="M287">
        <v>15</v>
      </c>
      <c r="N287" s="1">
        <v>46146</v>
      </c>
      <c r="O287">
        <v>0.7</v>
      </c>
      <c r="P287">
        <v>3</v>
      </c>
      <c r="Q287">
        <v>348</v>
      </c>
      <c r="R287">
        <v>8</v>
      </c>
    </row>
    <row r="288" spans="1:18" x14ac:dyDescent="0.35">
      <c r="A288">
        <v>1.23025769332353E+18</v>
      </c>
      <c r="B288" t="s">
        <v>436</v>
      </c>
      <c r="C288">
        <v>106636448</v>
      </c>
      <c r="D288">
        <v>1.46729294625136E+18</v>
      </c>
      <c r="E288" t="s">
        <v>136</v>
      </c>
      <c r="G288" t="s">
        <v>25</v>
      </c>
      <c r="H288">
        <v>42.655071610896101</v>
      </c>
      <c r="I288">
        <v>-73.764750946777198</v>
      </c>
      <c r="J288" t="s">
        <v>22</v>
      </c>
      <c r="K288">
        <v>253</v>
      </c>
      <c r="L288">
        <v>1</v>
      </c>
      <c r="M288">
        <v>88</v>
      </c>
      <c r="N288" s="1">
        <v>46177</v>
      </c>
      <c r="O288">
        <v>4.7699999999999996</v>
      </c>
      <c r="P288">
        <v>1</v>
      </c>
      <c r="Q288">
        <v>239</v>
      </c>
      <c r="R288">
        <v>41</v>
      </c>
    </row>
    <row r="289" spans="1:18" x14ac:dyDescent="0.35">
      <c r="A289">
        <v>1.2333665489086799E+18</v>
      </c>
      <c r="B289" t="s">
        <v>437</v>
      </c>
      <c r="C289">
        <v>233515764</v>
      </c>
      <c r="D289">
        <v>1.46924386914754E+18</v>
      </c>
      <c r="E289" t="s">
        <v>359</v>
      </c>
      <c r="G289" t="s">
        <v>25</v>
      </c>
      <c r="H289">
        <v>42.651730000000001</v>
      </c>
      <c r="I289">
        <v>-73.767859999999999</v>
      </c>
      <c r="J289" t="s">
        <v>22</v>
      </c>
      <c r="K289">
        <v>157</v>
      </c>
      <c r="L289">
        <v>1</v>
      </c>
      <c r="M289">
        <v>116</v>
      </c>
      <c r="N289" s="1">
        <v>46167</v>
      </c>
      <c r="O289">
        <v>5.39</v>
      </c>
      <c r="P289">
        <v>8</v>
      </c>
      <c r="Q289">
        <v>217</v>
      </c>
      <c r="R289">
        <v>60</v>
      </c>
    </row>
    <row r="290" spans="1:18" x14ac:dyDescent="0.35">
      <c r="A290">
        <v>1.2343769128645199E+18</v>
      </c>
      <c r="B290" t="s">
        <v>438</v>
      </c>
      <c r="C290">
        <v>564967431</v>
      </c>
      <c r="D290">
        <v>1.4704934889487401E+18</v>
      </c>
      <c r="E290" t="s">
        <v>381</v>
      </c>
      <c r="G290" t="s">
        <v>25</v>
      </c>
      <c r="H290">
        <v>42.650468069044301</v>
      </c>
      <c r="I290">
        <v>-73.764347958106399</v>
      </c>
      <c r="J290" t="s">
        <v>22</v>
      </c>
      <c r="K290">
        <v>193</v>
      </c>
      <c r="L290">
        <v>1</v>
      </c>
      <c r="M290">
        <v>3</v>
      </c>
      <c r="N290" s="1">
        <v>46179</v>
      </c>
      <c r="O290">
        <v>0.15</v>
      </c>
      <c r="P290">
        <v>3</v>
      </c>
      <c r="Q290">
        <v>342</v>
      </c>
      <c r="R290">
        <v>1</v>
      </c>
    </row>
    <row r="291" spans="1:18" x14ac:dyDescent="0.35">
      <c r="A291">
        <v>1.2422273420757199E+18</v>
      </c>
      <c r="B291" t="s">
        <v>439</v>
      </c>
      <c r="C291">
        <v>594734396</v>
      </c>
      <c r="D291">
        <v>1.4706237217552901E+18</v>
      </c>
      <c r="E291" t="s">
        <v>440</v>
      </c>
      <c r="G291" t="s">
        <v>28</v>
      </c>
      <c r="H291">
        <v>42.642499999999998</v>
      </c>
      <c r="I291">
        <v>-73.758889999999994</v>
      </c>
      <c r="J291" t="s">
        <v>31</v>
      </c>
      <c r="K291">
        <v>69</v>
      </c>
      <c r="L291">
        <v>1</v>
      </c>
      <c r="M291">
        <v>40</v>
      </c>
      <c r="N291" s="1">
        <v>45883</v>
      </c>
      <c r="O291">
        <v>1.91</v>
      </c>
      <c r="P291">
        <v>1</v>
      </c>
      <c r="Q291">
        <v>361</v>
      </c>
      <c r="R291">
        <v>6</v>
      </c>
    </row>
    <row r="292" spans="1:18" x14ac:dyDescent="0.35">
      <c r="A292">
        <v>1.2522035956663099E+18</v>
      </c>
      <c r="B292" t="s">
        <v>441</v>
      </c>
      <c r="C292">
        <v>349460842</v>
      </c>
      <c r="D292">
        <v>1.4696952540817001E+18</v>
      </c>
      <c r="E292" t="s">
        <v>122</v>
      </c>
      <c r="G292" t="s">
        <v>47</v>
      </c>
      <c r="H292">
        <v>42.6651790512174</v>
      </c>
      <c r="I292">
        <v>-73.7926014796559</v>
      </c>
      <c r="J292" t="s">
        <v>31</v>
      </c>
      <c r="K292">
        <v>72</v>
      </c>
      <c r="L292">
        <v>28</v>
      </c>
      <c r="M292">
        <v>1</v>
      </c>
      <c r="N292" s="1">
        <v>45937</v>
      </c>
      <c r="O292">
        <v>0.12</v>
      </c>
      <c r="P292">
        <v>21</v>
      </c>
      <c r="Q292">
        <v>304</v>
      </c>
      <c r="R292">
        <v>1</v>
      </c>
    </row>
    <row r="293" spans="1:18" x14ac:dyDescent="0.35">
      <c r="A293">
        <v>1.25225829738595E+18</v>
      </c>
      <c r="B293" t="s">
        <v>442</v>
      </c>
      <c r="C293">
        <v>38324986</v>
      </c>
      <c r="D293">
        <v>1.4655733876229601E+18</v>
      </c>
      <c r="E293" t="s">
        <v>443</v>
      </c>
      <c r="G293" t="s">
        <v>84</v>
      </c>
      <c r="H293">
        <v>42.645487391007499</v>
      </c>
      <c r="I293">
        <v>-73.789603215188706</v>
      </c>
      <c r="J293" t="s">
        <v>22</v>
      </c>
      <c r="K293">
        <v>313</v>
      </c>
      <c r="L293">
        <v>4</v>
      </c>
      <c r="M293">
        <v>0</v>
      </c>
      <c r="P293">
        <v>1</v>
      </c>
      <c r="Q293">
        <v>362</v>
      </c>
      <c r="R293">
        <v>0</v>
      </c>
    </row>
    <row r="294" spans="1:18" x14ac:dyDescent="0.35">
      <c r="A294">
        <v>1.2523012119095099E+18</v>
      </c>
      <c r="B294" t="s">
        <v>444</v>
      </c>
      <c r="C294">
        <v>349460842</v>
      </c>
      <c r="D294">
        <v>1.4696952540817001E+18</v>
      </c>
      <c r="E294" t="s">
        <v>122</v>
      </c>
      <c r="G294" t="s">
        <v>47</v>
      </c>
      <c r="H294">
        <v>42.6655557806953</v>
      </c>
      <c r="I294">
        <v>-73.792697745978302</v>
      </c>
      <c r="J294" t="s">
        <v>31</v>
      </c>
      <c r="K294">
        <v>77</v>
      </c>
      <c r="L294">
        <v>21</v>
      </c>
      <c r="M294">
        <v>1</v>
      </c>
      <c r="N294" s="1">
        <v>45623</v>
      </c>
      <c r="O294">
        <v>0.05</v>
      </c>
      <c r="P294">
        <v>21</v>
      </c>
      <c r="Q294">
        <v>358</v>
      </c>
      <c r="R294">
        <v>0</v>
      </c>
    </row>
    <row r="295" spans="1:18" x14ac:dyDescent="0.35">
      <c r="A295">
        <v>1.25639130163969E+18</v>
      </c>
      <c r="B295" t="s">
        <v>445</v>
      </c>
      <c r="C295">
        <v>37769478</v>
      </c>
      <c r="D295">
        <v>1.4655652968529201E+18</v>
      </c>
      <c r="E295" t="s">
        <v>182</v>
      </c>
      <c r="G295" t="s">
        <v>25</v>
      </c>
      <c r="H295">
        <v>42.654229768331497</v>
      </c>
      <c r="I295">
        <v>-73.769825773133704</v>
      </c>
      <c r="J295" t="s">
        <v>22</v>
      </c>
      <c r="K295">
        <v>182</v>
      </c>
      <c r="L295">
        <v>1</v>
      </c>
      <c r="M295">
        <v>26</v>
      </c>
      <c r="N295" s="1">
        <v>46172</v>
      </c>
      <c r="O295">
        <v>1.26</v>
      </c>
      <c r="P295">
        <v>16</v>
      </c>
      <c r="Q295">
        <v>331</v>
      </c>
      <c r="R295">
        <v>16</v>
      </c>
    </row>
    <row r="296" spans="1:18" x14ac:dyDescent="0.35">
      <c r="A296">
        <v>1.2564989955714199E+18</v>
      </c>
      <c r="B296" t="s">
        <v>446</v>
      </c>
      <c r="C296">
        <v>349460842</v>
      </c>
      <c r="D296">
        <v>1.4696952540817001E+18</v>
      </c>
      <c r="E296" t="s">
        <v>122</v>
      </c>
      <c r="G296" t="s">
        <v>47</v>
      </c>
      <c r="H296">
        <v>42.662260000000003</v>
      </c>
      <c r="I296">
        <v>-73.782210000000006</v>
      </c>
      <c r="J296" t="s">
        <v>31</v>
      </c>
      <c r="K296">
        <v>55</v>
      </c>
      <c r="L296">
        <v>30</v>
      </c>
      <c r="M296">
        <v>0</v>
      </c>
      <c r="P296">
        <v>21</v>
      </c>
      <c r="Q296">
        <v>161</v>
      </c>
      <c r="R296">
        <v>0</v>
      </c>
    </row>
    <row r="297" spans="1:18" x14ac:dyDescent="0.35">
      <c r="A297">
        <v>1.26453198791022E+18</v>
      </c>
      <c r="B297" t="s">
        <v>447</v>
      </c>
      <c r="C297">
        <v>47625981</v>
      </c>
      <c r="D297">
        <v>1.46270726328816E+18</v>
      </c>
      <c r="E297" t="s">
        <v>132</v>
      </c>
      <c r="G297" t="s">
        <v>64</v>
      </c>
      <c r="H297">
        <v>42.647628566664999</v>
      </c>
      <c r="I297">
        <v>-73.767516840618896</v>
      </c>
      <c r="J297" t="s">
        <v>22</v>
      </c>
      <c r="K297">
        <v>263</v>
      </c>
      <c r="L297">
        <v>1</v>
      </c>
      <c r="M297">
        <v>43</v>
      </c>
      <c r="N297" s="1">
        <v>46167</v>
      </c>
      <c r="O297">
        <v>2.11</v>
      </c>
      <c r="P297">
        <v>16</v>
      </c>
      <c r="Q297">
        <v>333</v>
      </c>
      <c r="R297">
        <v>16</v>
      </c>
    </row>
    <row r="298" spans="1:18" x14ac:dyDescent="0.35">
      <c r="A298">
        <v>1.26534237450733E+18</v>
      </c>
      <c r="B298" t="s">
        <v>448</v>
      </c>
      <c r="C298">
        <v>564967431</v>
      </c>
      <c r="D298">
        <v>1.4704934889487401E+18</v>
      </c>
      <c r="E298" t="s">
        <v>381</v>
      </c>
      <c r="G298" t="s">
        <v>25</v>
      </c>
      <c r="H298">
        <v>42.650046750770599</v>
      </c>
      <c r="I298">
        <v>-73.764021781643507</v>
      </c>
      <c r="J298" t="s">
        <v>22</v>
      </c>
      <c r="K298">
        <v>150</v>
      </c>
      <c r="L298">
        <v>1</v>
      </c>
      <c r="M298">
        <v>6</v>
      </c>
      <c r="N298" s="1">
        <v>45717</v>
      </c>
      <c r="O298">
        <v>0.3</v>
      </c>
      <c r="P298">
        <v>3</v>
      </c>
      <c r="Q298">
        <v>246</v>
      </c>
      <c r="R298">
        <v>0</v>
      </c>
    </row>
    <row r="299" spans="1:18" x14ac:dyDescent="0.35">
      <c r="A299">
        <v>1.26667677947358E+18</v>
      </c>
      <c r="B299" t="s">
        <v>449</v>
      </c>
      <c r="C299">
        <v>1017349</v>
      </c>
      <c r="D299">
        <v>1.4625359160760499E+18</v>
      </c>
      <c r="E299" t="s">
        <v>450</v>
      </c>
      <c r="G299" t="s">
        <v>25</v>
      </c>
      <c r="H299">
        <v>42.653190273335603</v>
      </c>
      <c r="I299">
        <v>-73.769705999611503</v>
      </c>
      <c r="J299" t="s">
        <v>31</v>
      </c>
      <c r="L299">
        <v>1</v>
      </c>
      <c r="M299">
        <v>1</v>
      </c>
      <c r="N299" s="1">
        <v>45591</v>
      </c>
      <c r="O299">
        <v>0.05</v>
      </c>
      <c r="P299">
        <v>1</v>
      </c>
      <c r="Q299">
        <v>82</v>
      </c>
      <c r="R299">
        <v>0</v>
      </c>
    </row>
    <row r="300" spans="1:18" x14ac:dyDescent="0.35">
      <c r="A300">
        <v>1.2682056166037701E+18</v>
      </c>
      <c r="B300" t="s">
        <v>451</v>
      </c>
      <c r="C300">
        <v>270608641</v>
      </c>
      <c r="D300">
        <v>1.46942929012433E+18</v>
      </c>
      <c r="E300" t="s">
        <v>452</v>
      </c>
      <c r="G300" t="s">
        <v>25</v>
      </c>
      <c r="H300">
        <v>42.651379695051702</v>
      </c>
      <c r="I300">
        <v>-73.769470692120805</v>
      </c>
      <c r="J300" t="s">
        <v>22</v>
      </c>
      <c r="K300">
        <v>145</v>
      </c>
      <c r="L300">
        <v>1</v>
      </c>
      <c r="M300">
        <v>62</v>
      </c>
      <c r="N300" s="1">
        <v>46159</v>
      </c>
      <c r="O300">
        <v>3.14</v>
      </c>
      <c r="P300">
        <v>1</v>
      </c>
      <c r="Q300">
        <v>352</v>
      </c>
      <c r="R300">
        <v>45</v>
      </c>
    </row>
    <row r="301" spans="1:18" x14ac:dyDescent="0.35">
      <c r="A301">
        <v>1.2738613659845499E+18</v>
      </c>
      <c r="B301" t="s">
        <v>453</v>
      </c>
      <c r="C301">
        <v>658588120</v>
      </c>
      <c r="D301">
        <v>1.4706541895349E+18</v>
      </c>
      <c r="E301" t="s">
        <v>454</v>
      </c>
      <c r="G301" t="s">
        <v>270</v>
      </c>
      <c r="H301">
        <v>42.6868505918181</v>
      </c>
      <c r="I301">
        <v>-73.814055518011401</v>
      </c>
      <c r="J301" t="s">
        <v>22</v>
      </c>
      <c r="L301">
        <v>365</v>
      </c>
      <c r="M301">
        <v>0</v>
      </c>
      <c r="P301">
        <v>1</v>
      </c>
      <c r="Q301">
        <v>358</v>
      </c>
      <c r="R301">
        <v>0</v>
      </c>
    </row>
    <row r="302" spans="1:18" x14ac:dyDescent="0.35">
      <c r="A302">
        <v>1.2746130248917499E+18</v>
      </c>
      <c r="B302" t="s">
        <v>455</v>
      </c>
      <c r="C302">
        <v>32379616</v>
      </c>
      <c r="D302">
        <v>1.4654754916985201E+18</v>
      </c>
      <c r="E302" t="s">
        <v>426</v>
      </c>
      <c r="G302" t="s">
        <v>21</v>
      </c>
      <c r="H302">
        <v>42.6648753093762</v>
      </c>
      <c r="I302">
        <v>-73.767303390287495</v>
      </c>
      <c r="J302" t="s">
        <v>22</v>
      </c>
      <c r="K302">
        <v>85</v>
      </c>
      <c r="L302">
        <v>1</v>
      </c>
      <c r="M302">
        <v>1</v>
      </c>
      <c r="N302" s="1">
        <v>46125</v>
      </c>
      <c r="O302">
        <v>0.46</v>
      </c>
      <c r="P302">
        <v>8</v>
      </c>
      <c r="Q302">
        <v>336</v>
      </c>
      <c r="R302">
        <v>1</v>
      </c>
    </row>
    <row r="303" spans="1:18" x14ac:dyDescent="0.35">
      <c r="A303">
        <v>1.27978167158802E+18</v>
      </c>
      <c r="B303" t="s">
        <v>456</v>
      </c>
      <c r="C303">
        <v>528617680</v>
      </c>
      <c r="D303">
        <v>1.4703762825107599E+18</v>
      </c>
      <c r="E303" t="s">
        <v>457</v>
      </c>
      <c r="G303" t="s">
        <v>28</v>
      </c>
      <c r="H303">
        <v>42.6453112779392</v>
      </c>
      <c r="I303">
        <v>-73.757933997208895</v>
      </c>
      <c r="J303" t="s">
        <v>31</v>
      </c>
      <c r="K303">
        <v>52</v>
      </c>
      <c r="L303">
        <v>1</v>
      </c>
      <c r="M303">
        <v>6</v>
      </c>
      <c r="N303" s="1">
        <v>45707</v>
      </c>
      <c r="O303">
        <v>0.3</v>
      </c>
      <c r="P303">
        <v>1</v>
      </c>
      <c r="Q303">
        <v>305</v>
      </c>
      <c r="R303">
        <v>0</v>
      </c>
    </row>
    <row r="304" spans="1:18" x14ac:dyDescent="0.35">
      <c r="A304">
        <v>1.2798466460466099E+18</v>
      </c>
      <c r="B304" t="s">
        <v>458</v>
      </c>
      <c r="C304">
        <v>32379616</v>
      </c>
      <c r="D304">
        <v>1.4654754916985201E+18</v>
      </c>
      <c r="E304" t="s">
        <v>426</v>
      </c>
      <c r="G304" t="s">
        <v>21</v>
      </c>
      <c r="H304">
        <v>42.664093000000001</v>
      </c>
      <c r="I304">
        <v>-73.7679519</v>
      </c>
      <c r="J304" t="s">
        <v>31</v>
      </c>
      <c r="K304">
        <v>36</v>
      </c>
      <c r="L304">
        <v>28</v>
      </c>
      <c r="M304">
        <v>1</v>
      </c>
      <c r="N304" s="1">
        <v>46083</v>
      </c>
      <c r="O304">
        <v>0.28000000000000003</v>
      </c>
      <c r="P304">
        <v>8</v>
      </c>
      <c r="Q304">
        <v>297</v>
      </c>
      <c r="R304">
        <v>1</v>
      </c>
    </row>
    <row r="305" spans="1:18" x14ac:dyDescent="0.35">
      <c r="A305">
        <v>1.2849837404174999E+18</v>
      </c>
      <c r="B305" t="s">
        <v>459</v>
      </c>
      <c r="C305">
        <v>661066080</v>
      </c>
      <c r="D305">
        <v>1.4706597322342799E+18</v>
      </c>
      <c r="E305" t="s">
        <v>460</v>
      </c>
      <c r="G305" t="s">
        <v>91</v>
      </c>
      <c r="H305">
        <v>42.674451428376102</v>
      </c>
      <c r="I305">
        <v>-73.7383570126471</v>
      </c>
      <c r="J305" t="s">
        <v>22</v>
      </c>
      <c r="K305">
        <v>289</v>
      </c>
      <c r="L305">
        <v>1</v>
      </c>
      <c r="M305">
        <v>5</v>
      </c>
      <c r="N305" s="1">
        <v>45941</v>
      </c>
      <c r="O305">
        <v>0.28999999999999998</v>
      </c>
      <c r="P305">
        <v>1</v>
      </c>
      <c r="Q305">
        <v>177</v>
      </c>
      <c r="R305">
        <v>2</v>
      </c>
    </row>
    <row r="306" spans="1:18" x14ac:dyDescent="0.35">
      <c r="A306">
        <v>1.2890846063129999E+18</v>
      </c>
      <c r="B306" t="s">
        <v>461</v>
      </c>
      <c r="C306">
        <v>484673863</v>
      </c>
      <c r="D306">
        <v>1.46381230158115E+18</v>
      </c>
      <c r="E306" t="s">
        <v>259</v>
      </c>
      <c r="G306" t="s">
        <v>51</v>
      </c>
      <c r="H306">
        <v>42.656656284880697</v>
      </c>
      <c r="I306">
        <v>-73.781827054917798</v>
      </c>
      <c r="J306" t="s">
        <v>22</v>
      </c>
      <c r="K306">
        <v>206</v>
      </c>
      <c r="L306">
        <v>1</v>
      </c>
      <c r="M306">
        <v>39</v>
      </c>
      <c r="N306" s="1">
        <v>46097</v>
      </c>
      <c r="O306">
        <v>2.0299999999999998</v>
      </c>
      <c r="P306">
        <v>3</v>
      </c>
      <c r="Q306">
        <v>348</v>
      </c>
      <c r="R306">
        <v>10</v>
      </c>
    </row>
    <row r="307" spans="1:18" x14ac:dyDescent="0.35">
      <c r="A307">
        <v>1.2928818702286899E+18</v>
      </c>
      <c r="B307" t="s">
        <v>462</v>
      </c>
      <c r="C307">
        <v>349460842</v>
      </c>
      <c r="D307">
        <v>1.4696952540817001E+18</v>
      </c>
      <c r="E307" t="s">
        <v>122</v>
      </c>
      <c r="G307" t="s">
        <v>47</v>
      </c>
      <c r="H307">
        <v>42.662297059906003</v>
      </c>
      <c r="I307">
        <v>-73.781755744966802</v>
      </c>
      <c r="J307" t="s">
        <v>31</v>
      </c>
      <c r="K307">
        <v>46</v>
      </c>
      <c r="L307">
        <v>30</v>
      </c>
      <c r="M307">
        <v>0</v>
      </c>
      <c r="P307">
        <v>21</v>
      </c>
      <c r="Q307">
        <v>132</v>
      </c>
      <c r="R307">
        <v>0</v>
      </c>
    </row>
    <row r="308" spans="1:18" x14ac:dyDescent="0.35">
      <c r="A308">
        <v>1.2943301255859699E+18</v>
      </c>
      <c r="B308" t="s">
        <v>463</v>
      </c>
      <c r="C308">
        <v>353498132</v>
      </c>
      <c r="D308">
        <v>1.4635138835511601E+18</v>
      </c>
      <c r="E308" t="s">
        <v>127</v>
      </c>
      <c r="G308" t="s">
        <v>84</v>
      </c>
      <c r="H308">
        <v>42.645928340632501</v>
      </c>
      <c r="I308">
        <v>-73.7987614116538</v>
      </c>
      <c r="J308" t="s">
        <v>22</v>
      </c>
      <c r="K308">
        <v>155</v>
      </c>
      <c r="L308">
        <v>13</v>
      </c>
      <c r="M308">
        <v>0</v>
      </c>
      <c r="P308">
        <v>6</v>
      </c>
      <c r="Q308">
        <v>166</v>
      </c>
      <c r="R308">
        <v>0</v>
      </c>
    </row>
    <row r="309" spans="1:18" x14ac:dyDescent="0.35">
      <c r="A309">
        <v>1.2958042897674099E+18</v>
      </c>
      <c r="B309" t="s">
        <v>464</v>
      </c>
      <c r="C309">
        <v>349460842</v>
      </c>
      <c r="D309">
        <v>1.4696952540817001E+18</v>
      </c>
      <c r="E309" t="s">
        <v>122</v>
      </c>
      <c r="G309" t="s">
        <v>68</v>
      </c>
      <c r="H309">
        <v>42.663456296808803</v>
      </c>
      <c r="I309">
        <v>-73.781828154410107</v>
      </c>
      <c r="J309" t="s">
        <v>31</v>
      </c>
      <c r="K309">
        <v>71</v>
      </c>
      <c r="L309">
        <v>30</v>
      </c>
      <c r="M309">
        <v>1</v>
      </c>
      <c r="N309" s="1">
        <v>45917</v>
      </c>
      <c r="O309">
        <v>0.11</v>
      </c>
      <c r="P309">
        <v>21</v>
      </c>
      <c r="Q309">
        <v>227</v>
      </c>
      <c r="R309">
        <v>1</v>
      </c>
    </row>
    <row r="310" spans="1:18" x14ac:dyDescent="0.35">
      <c r="A310">
        <v>1.2966517617690299E+18</v>
      </c>
      <c r="B310" t="s">
        <v>465</v>
      </c>
      <c r="C310">
        <v>663670719</v>
      </c>
      <c r="D310">
        <v>1.47066557604847E+18</v>
      </c>
      <c r="E310" t="s">
        <v>466</v>
      </c>
      <c r="G310" t="s">
        <v>68</v>
      </c>
      <c r="H310">
        <v>42.664345438141098</v>
      </c>
      <c r="I310">
        <v>-73.778745731381093</v>
      </c>
      <c r="J310" t="s">
        <v>31</v>
      </c>
      <c r="K310">
        <v>63</v>
      </c>
      <c r="L310">
        <v>1</v>
      </c>
      <c r="M310">
        <v>11</v>
      </c>
      <c r="N310" s="1">
        <v>45931</v>
      </c>
      <c r="O310">
        <v>0.65</v>
      </c>
      <c r="P310">
        <v>3</v>
      </c>
      <c r="Q310">
        <v>226</v>
      </c>
      <c r="R310">
        <v>2</v>
      </c>
    </row>
    <row r="311" spans="1:18" x14ac:dyDescent="0.35">
      <c r="A311">
        <v>1.29675636643311E+18</v>
      </c>
      <c r="B311" t="s">
        <v>467</v>
      </c>
      <c r="C311">
        <v>663670719</v>
      </c>
      <c r="D311">
        <v>1.47066557604847E+18</v>
      </c>
      <c r="E311" t="s">
        <v>466</v>
      </c>
      <c r="G311" t="s">
        <v>40</v>
      </c>
      <c r="H311">
        <v>42.662949703412202</v>
      </c>
      <c r="I311">
        <v>-73.778902711568904</v>
      </c>
      <c r="J311" t="s">
        <v>31</v>
      </c>
      <c r="K311">
        <v>63</v>
      </c>
      <c r="L311">
        <v>1</v>
      </c>
      <c r="M311">
        <v>124</v>
      </c>
      <c r="N311" s="1">
        <v>46178</v>
      </c>
      <c r="O311">
        <v>6.61</v>
      </c>
      <c r="P311">
        <v>3</v>
      </c>
      <c r="Q311">
        <v>306</v>
      </c>
      <c r="R311">
        <v>80</v>
      </c>
    </row>
    <row r="312" spans="1:18" x14ac:dyDescent="0.35">
      <c r="A312">
        <v>1.2980673623801101E+18</v>
      </c>
      <c r="B312" t="s">
        <v>468</v>
      </c>
      <c r="C312">
        <v>44434571</v>
      </c>
      <c r="D312">
        <v>1.46269698801421E+18</v>
      </c>
      <c r="E312" t="s">
        <v>87</v>
      </c>
      <c r="G312" t="s">
        <v>28</v>
      </c>
      <c r="H312">
        <v>42.644412072686499</v>
      </c>
      <c r="I312">
        <v>-73.752266736339394</v>
      </c>
      <c r="J312" t="s">
        <v>22</v>
      </c>
      <c r="K312">
        <v>230</v>
      </c>
      <c r="L312">
        <v>1</v>
      </c>
      <c r="M312">
        <v>58</v>
      </c>
      <c r="N312" s="1">
        <v>46159</v>
      </c>
      <c r="O312">
        <v>3.27</v>
      </c>
      <c r="P312">
        <v>11</v>
      </c>
      <c r="Q312">
        <v>350</v>
      </c>
      <c r="R312">
        <v>37</v>
      </c>
    </row>
    <row r="313" spans="1:18" x14ac:dyDescent="0.35">
      <c r="A313">
        <v>1.3080844930288799E+18</v>
      </c>
      <c r="B313" t="s">
        <v>469</v>
      </c>
      <c r="C313">
        <v>349460842</v>
      </c>
      <c r="D313">
        <v>1.4696952540817001E+18</v>
      </c>
      <c r="E313" t="s">
        <v>122</v>
      </c>
      <c r="G313" t="s">
        <v>47</v>
      </c>
      <c r="H313">
        <v>42.662998945568603</v>
      </c>
      <c r="I313">
        <v>-73.782555853199199</v>
      </c>
      <c r="J313" t="s">
        <v>31</v>
      </c>
      <c r="K313">
        <v>72</v>
      </c>
      <c r="L313">
        <v>28</v>
      </c>
      <c r="M313">
        <v>1</v>
      </c>
      <c r="N313" s="1">
        <v>45882</v>
      </c>
      <c r="O313">
        <v>0.1</v>
      </c>
      <c r="P313">
        <v>21</v>
      </c>
      <c r="Q313">
        <v>177</v>
      </c>
      <c r="R313">
        <v>1</v>
      </c>
    </row>
    <row r="314" spans="1:18" x14ac:dyDescent="0.35">
      <c r="A314">
        <v>1.3081115218416699E+18</v>
      </c>
      <c r="B314" t="s">
        <v>470</v>
      </c>
      <c r="C314">
        <v>349460842</v>
      </c>
      <c r="D314">
        <v>1.4696952540817001E+18</v>
      </c>
      <c r="E314" t="s">
        <v>122</v>
      </c>
      <c r="G314" t="s">
        <v>47</v>
      </c>
      <c r="H314">
        <v>42.662399466796899</v>
      </c>
      <c r="I314">
        <v>-73.782712601074493</v>
      </c>
      <c r="J314" t="s">
        <v>31</v>
      </c>
      <c r="K314">
        <v>71</v>
      </c>
      <c r="L314">
        <v>30</v>
      </c>
      <c r="M314">
        <v>0</v>
      </c>
      <c r="P314">
        <v>21</v>
      </c>
      <c r="Q314">
        <v>339</v>
      </c>
      <c r="R314">
        <v>0</v>
      </c>
    </row>
    <row r="315" spans="1:18" x14ac:dyDescent="0.35">
      <c r="A315">
        <v>1.31017028392591E+18</v>
      </c>
      <c r="B315" t="s">
        <v>471</v>
      </c>
      <c r="C315">
        <v>663670719</v>
      </c>
      <c r="D315">
        <v>1.47066557604847E+18</v>
      </c>
      <c r="E315" t="s">
        <v>466</v>
      </c>
      <c r="G315" t="s">
        <v>40</v>
      </c>
      <c r="H315">
        <v>42.6637589073082</v>
      </c>
      <c r="I315">
        <v>-73.776744067050501</v>
      </c>
      <c r="J315" t="s">
        <v>31</v>
      </c>
      <c r="K315">
        <v>66</v>
      </c>
      <c r="L315">
        <v>1</v>
      </c>
      <c r="M315">
        <v>71</v>
      </c>
      <c r="N315" s="1">
        <v>46164</v>
      </c>
      <c r="O315">
        <v>3.93</v>
      </c>
      <c r="P315">
        <v>3</v>
      </c>
      <c r="Q315">
        <v>282</v>
      </c>
      <c r="R315">
        <v>44</v>
      </c>
    </row>
    <row r="316" spans="1:18" x14ac:dyDescent="0.35">
      <c r="A316">
        <v>1.31961955859474E+18</v>
      </c>
      <c r="B316" t="s">
        <v>472</v>
      </c>
      <c r="C316">
        <v>559146397</v>
      </c>
      <c r="D316">
        <v>1.47049988352465E+18</v>
      </c>
      <c r="E316" t="s">
        <v>473</v>
      </c>
      <c r="G316" t="s">
        <v>25</v>
      </c>
      <c r="H316">
        <v>42.653309999999998</v>
      </c>
      <c r="I316">
        <v>-73.769710000000003</v>
      </c>
      <c r="J316" t="s">
        <v>22</v>
      </c>
      <c r="K316">
        <v>95</v>
      </c>
      <c r="L316">
        <v>31</v>
      </c>
      <c r="M316">
        <v>0</v>
      </c>
      <c r="P316">
        <v>2</v>
      </c>
      <c r="Q316">
        <v>318</v>
      </c>
      <c r="R316">
        <v>0</v>
      </c>
    </row>
    <row r="317" spans="1:18" x14ac:dyDescent="0.35">
      <c r="A317">
        <v>1.3196494161788101E+18</v>
      </c>
      <c r="B317" t="s">
        <v>474</v>
      </c>
      <c r="C317">
        <v>252422913</v>
      </c>
      <c r="D317">
        <v>1.46933724618815E+18</v>
      </c>
      <c r="E317" t="s">
        <v>475</v>
      </c>
      <c r="G317" t="s">
        <v>37</v>
      </c>
      <c r="H317">
        <v>42.670778542157798</v>
      </c>
      <c r="I317">
        <v>-73.825250545677207</v>
      </c>
      <c r="J317" t="s">
        <v>22</v>
      </c>
      <c r="K317">
        <v>245</v>
      </c>
      <c r="L317">
        <v>2</v>
      </c>
      <c r="M317">
        <v>8</v>
      </c>
      <c r="N317" s="1">
        <v>46169</v>
      </c>
      <c r="O317">
        <v>0.56000000000000005</v>
      </c>
      <c r="P317">
        <v>1</v>
      </c>
      <c r="Q317">
        <v>171</v>
      </c>
      <c r="R317">
        <v>7</v>
      </c>
    </row>
    <row r="318" spans="1:18" x14ac:dyDescent="0.35">
      <c r="A318">
        <v>1.3282473593302899E+18</v>
      </c>
      <c r="B318" t="s">
        <v>476</v>
      </c>
      <c r="C318">
        <v>666182267</v>
      </c>
      <c r="D318">
        <v>1.4639196230647099E+18</v>
      </c>
      <c r="E318" t="s">
        <v>477</v>
      </c>
      <c r="G318" t="s">
        <v>25</v>
      </c>
      <c r="H318">
        <v>42.650149999999996</v>
      </c>
      <c r="I318">
        <v>-73.763369999999995</v>
      </c>
      <c r="J318" t="s">
        <v>22</v>
      </c>
      <c r="K318">
        <v>196</v>
      </c>
      <c r="L318">
        <v>2</v>
      </c>
      <c r="M318">
        <v>54</v>
      </c>
      <c r="N318" s="1">
        <v>46188</v>
      </c>
      <c r="O318">
        <v>3.27</v>
      </c>
      <c r="P318">
        <v>1</v>
      </c>
      <c r="Q318">
        <v>254</v>
      </c>
      <c r="R318">
        <v>42</v>
      </c>
    </row>
    <row r="319" spans="1:18" x14ac:dyDescent="0.35">
      <c r="A319">
        <v>1.3284019061959199E+18</v>
      </c>
      <c r="B319" t="s">
        <v>478</v>
      </c>
      <c r="C319">
        <v>392074908</v>
      </c>
      <c r="D319">
        <v>1.4635956151595699E+18</v>
      </c>
      <c r="E319" t="s">
        <v>150</v>
      </c>
      <c r="G319" t="s">
        <v>25</v>
      </c>
      <c r="H319">
        <v>42.652619999999999</v>
      </c>
      <c r="I319">
        <v>-73.761340000000004</v>
      </c>
      <c r="J319" t="s">
        <v>22</v>
      </c>
      <c r="K319">
        <v>161</v>
      </c>
      <c r="L319">
        <v>2</v>
      </c>
      <c r="M319">
        <v>6</v>
      </c>
      <c r="N319" s="1">
        <v>46160</v>
      </c>
      <c r="O319">
        <v>0.38</v>
      </c>
      <c r="P319">
        <v>3</v>
      </c>
      <c r="Q319">
        <v>321</v>
      </c>
      <c r="R319">
        <v>2</v>
      </c>
    </row>
    <row r="320" spans="1:18" x14ac:dyDescent="0.35">
      <c r="A320">
        <v>1.3293552054412401E+18</v>
      </c>
      <c r="B320" t="s">
        <v>479</v>
      </c>
      <c r="C320">
        <v>559146397</v>
      </c>
      <c r="D320">
        <v>1.47049988352465E+18</v>
      </c>
      <c r="E320" t="s">
        <v>473</v>
      </c>
      <c r="G320" t="s">
        <v>25</v>
      </c>
      <c r="H320">
        <v>42.653448073835399</v>
      </c>
      <c r="I320">
        <v>-73.7694285437464</v>
      </c>
      <c r="J320" t="s">
        <v>22</v>
      </c>
      <c r="K320">
        <v>97</v>
      </c>
      <c r="L320">
        <v>31</v>
      </c>
      <c r="M320">
        <v>0</v>
      </c>
      <c r="P320">
        <v>2</v>
      </c>
      <c r="Q320">
        <v>333</v>
      </c>
      <c r="R320">
        <v>0</v>
      </c>
    </row>
    <row r="321" spans="1:18" x14ac:dyDescent="0.35">
      <c r="A321">
        <v>1.3342385791903099E+18</v>
      </c>
      <c r="B321" t="s">
        <v>480</v>
      </c>
      <c r="C321">
        <v>44434571</v>
      </c>
      <c r="D321">
        <v>1.46269698801421E+18</v>
      </c>
      <c r="E321" t="s">
        <v>87</v>
      </c>
      <c r="G321" t="s">
        <v>28</v>
      </c>
      <c r="H321">
        <v>42.644075000583101</v>
      </c>
      <c r="I321">
        <v>-73.754527900558202</v>
      </c>
      <c r="J321" t="s">
        <v>22</v>
      </c>
      <c r="K321">
        <v>229</v>
      </c>
      <c r="L321">
        <v>1</v>
      </c>
      <c r="M321">
        <v>51</v>
      </c>
      <c r="N321" s="1">
        <v>46180</v>
      </c>
      <c r="O321">
        <v>3.45</v>
      </c>
      <c r="P321">
        <v>11</v>
      </c>
      <c r="Q321">
        <v>302</v>
      </c>
      <c r="R321">
        <v>41</v>
      </c>
    </row>
    <row r="322" spans="1:18" x14ac:dyDescent="0.35">
      <c r="A322">
        <v>1.3468017589602401E+18</v>
      </c>
      <c r="B322" t="s">
        <v>481</v>
      </c>
      <c r="C322">
        <v>299638115</v>
      </c>
      <c r="D322">
        <v>1.4695394838626199E+18</v>
      </c>
      <c r="E322" t="s">
        <v>105</v>
      </c>
      <c r="G322" t="s">
        <v>25</v>
      </c>
      <c r="H322">
        <v>42.655664299999998</v>
      </c>
      <c r="I322">
        <v>-73.761885899999996</v>
      </c>
      <c r="J322" t="s">
        <v>22</v>
      </c>
      <c r="K322">
        <v>158</v>
      </c>
      <c r="L322">
        <v>1</v>
      </c>
      <c r="M322">
        <v>17</v>
      </c>
      <c r="N322" s="1">
        <v>46166</v>
      </c>
      <c r="O322">
        <v>1.44</v>
      </c>
      <c r="P322">
        <v>4</v>
      </c>
      <c r="Q322">
        <v>361</v>
      </c>
      <c r="R322">
        <v>17</v>
      </c>
    </row>
    <row r="323" spans="1:18" x14ac:dyDescent="0.35">
      <c r="A323">
        <v>1.3508722450428301E+18</v>
      </c>
      <c r="B323" t="s">
        <v>482</v>
      </c>
      <c r="C323">
        <v>10279606</v>
      </c>
      <c r="D323">
        <v>1.4628363033181E+18</v>
      </c>
      <c r="E323" t="s">
        <v>389</v>
      </c>
      <c r="G323" t="s">
        <v>37</v>
      </c>
      <c r="H323">
        <v>42.670037135469201</v>
      </c>
      <c r="I323">
        <v>-73.823027152316598</v>
      </c>
      <c r="J323" t="s">
        <v>22</v>
      </c>
      <c r="K323">
        <v>371</v>
      </c>
      <c r="L323">
        <v>1</v>
      </c>
      <c r="M323">
        <v>82</v>
      </c>
      <c r="N323" s="1">
        <v>46180</v>
      </c>
      <c r="O323">
        <v>5.0599999999999996</v>
      </c>
      <c r="P323">
        <v>3</v>
      </c>
      <c r="Q323">
        <v>337</v>
      </c>
      <c r="R323">
        <v>61</v>
      </c>
    </row>
    <row r="324" spans="1:18" x14ac:dyDescent="0.35">
      <c r="A324">
        <v>1.35858185838445E+18</v>
      </c>
      <c r="B324" t="s">
        <v>483</v>
      </c>
      <c r="C324">
        <v>32379616</v>
      </c>
      <c r="D324">
        <v>1.4654754916985201E+18</v>
      </c>
      <c r="E324" t="s">
        <v>426</v>
      </c>
      <c r="G324" t="s">
        <v>21</v>
      </c>
      <c r="H324">
        <v>42.665263049060499</v>
      </c>
      <c r="I324">
        <v>-73.767160701079504</v>
      </c>
      <c r="J324" t="s">
        <v>22</v>
      </c>
      <c r="K324">
        <v>94</v>
      </c>
      <c r="L324">
        <v>28</v>
      </c>
      <c r="M324">
        <v>0</v>
      </c>
      <c r="P324">
        <v>8</v>
      </c>
      <c r="Q324">
        <v>346</v>
      </c>
      <c r="R324">
        <v>0</v>
      </c>
    </row>
    <row r="325" spans="1:18" x14ac:dyDescent="0.35">
      <c r="A325">
        <v>1.3638670655845299E+18</v>
      </c>
      <c r="B325" t="s">
        <v>484</v>
      </c>
      <c r="C325">
        <v>650062372</v>
      </c>
      <c r="D325">
        <v>1.4706357787042099E+18</v>
      </c>
      <c r="E325" t="s">
        <v>485</v>
      </c>
      <c r="G325" t="s">
        <v>68</v>
      </c>
      <c r="H325">
        <v>42.668909999999997</v>
      </c>
      <c r="I325">
        <v>-73.790959999999998</v>
      </c>
      <c r="J325" t="s">
        <v>22</v>
      </c>
      <c r="K325">
        <v>349</v>
      </c>
      <c r="L325">
        <v>1</v>
      </c>
      <c r="M325">
        <v>8</v>
      </c>
      <c r="N325" s="1">
        <v>46103</v>
      </c>
      <c r="O325">
        <v>0.59</v>
      </c>
      <c r="P325">
        <v>1</v>
      </c>
      <c r="Q325">
        <v>319</v>
      </c>
      <c r="R325">
        <v>5</v>
      </c>
    </row>
    <row r="326" spans="1:18" x14ac:dyDescent="0.35">
      <c r="A326">
        <v>1.3669332397654999E+18</v>
      </c>
      <c r="B326" t="s">
        <v>486</v>
      </c>
      <c r="C326">
        <v>680411288</v>
      </c>
      <c r="D326">
        <v>1.4707013452279401E+18</v>
      </c>
      <c r="E326" t="s">
        <v>381</v>
      </c>
      <c r="G326" t="s">
        <v>84</v>
      </c>
      <c r="H326">
        <v>42.645330146003197</v>
      </c>
      <c r="I326">
        <v>-73.789131045637006</v>
      </c>
      <c r="J326" t="s">
        <v>22</v>
      </c>
      <c r="K326">
        <v>354</v>
      </c>
      <c r="L326">
        <v>2</v>
      </c>
      <c r="M326">
        <v>51</v>
      </c>
      <c r="N326" s="1">
        <v>46167</v>
      </c>
      <c r="O326">
        <v>3.36</v>
      </c>
      <c r="P326">
        <v>1</v>
      </c>
      <c r="Q326">
        <v>214</v>
      </c>
      <c r="R326">
        <v>36</v>
      </c>
    </row>
    <row r="327" spans="1:18" x14ac:dyDescent="0.35">
      <c r="A327">
        <v>1.36912790832222E+18</v>
      </c>
      <c r="B327" t="s">
        <v>487</v>
      </c>
      <c r="C327">
        <v>584109093</v>
      </c>
      <c r="D327">
        <v>1.4705970954755799E+18</v>
      </c>
      <c r="E327" t="s">
        <v>488</v>
      </c>
      <c r="G327" t="s">
        <v>91</v>
      </c>
      <c r="H327">
        <v>42.661593722653599</v>
      </c>
      <c r="I327">
        <v>-73.754399565118206</v>
      </c>
      <c r="J327" t="s">
        <v>22</v>
      </c>
      <c r="K327">
        <v>149</v>
      </c>
      <c r="L327">
        <v>1</v>
      </c>
      <c r="M327">
        <v>57</v>
      </c>
      <c r="N327" s="1">
        <v>46187</v>
      </c>
      <c r="O327">
        <v>3.74</v>
      </c>
      <c r="P327">
        <v>1</v>
      </c>
      <c r="Q327">
        <v>318</v>
      </c>
      <c r="R327">
        <v>48</v>
      </c>
    </row>
    <row r="328" spans="1:18" x14ac:dyDescent="0.35">
      <c r="A328">
        <v>1.36914559955585E+18</v>
      </c>
      <c r="B328" t="s">
        <v>489</v>
      </c>
      <c r="C328">
        <v>521669673</v>
      </c>
      <c r="D328">
        <v>1.47034734030819E+18</v>
      </c>
      <c r="E328" t="s">
        <v>299</v>
      </c>
      <c r="G328" t="s">
        <v>54</v>
      </c>
      <c r="H328">
        <v>42.6602362124856</v>
      </c>
      <c r="I328">
        <v>-73.757779949081794</v>
      </c>
      <c r="J328" t="s">
        <v>22</v>
      </c>
      <c r="K328">
        <v>84</v>
      </c>
      <c r="L328">
        <v>14</v>
      </c>
      <c r="M328">
        <v>0</v>
      </c>
      <c r="P328">
        <v>4</v>
      </c>
      <c r="Q328">
        <v>274</v>
      </c>
      <c r="R328">
        <v>0</v>
      </c>
    </row>
    <row r="329" spans="1:18" x14ac:dyDescent="0.35">
      <c r="A329">
        <v>1.3697689244742999E+18</v>
      </c>
      <c r="B329" t="s">
        <v>490</v>
      </c>
      <c r="C329">
        <v>121680792</v>
      </c>
      <c r="D329">
        <v>1.46823542108925E+18</v>
      </c>
      <c r="E329" t="s">
        <v>286</v>
      </c>
      <c r="G329" t="s">
        <v>117</v>
      </c>
      <c r="H329">
        <v>42.639626519419302</v>
      </c>
      <c r="I329">
        <v>-73.773308008159404</v>
      </c>
      <c r="J329" t="s">
        <v>22</v>
      </c>
      <c r="K329">
        <v>273</v>
      </c>
      <c r="L329">
        <v>2</v>
      </c>
      <c r="M329">
        <v>1</v>
      </c>
      <c r="N329" s="1">
        <v>45948</v>
      </c>
      <c r="O329">
        <v>0.12</v>
      </c>
      <c r="P329">
        <v>4</v>
      </c>
      <c r="Q329">
        <v>361</v>
      </c>
      <c r="R329">
        <v>1</v>
      </c>
    </row>
    <row r="330" spans="1:18" x14ac:dyDescent="0.35">
      <c r="A330">
        <v>1.37162604016689E+18</v>
      </c>
      <c r="B330" t="s">
        <v>491</v>
      </c>
      <c r="C330">
        <v>20536619</v>
      </c>
      <c r="D330">
        <v>1.4626135294231501E+18</v>
      </c>
      <c r="E330" t="s">
        <v>276</v>
      </c>
      <c r="G330" t="s">
        <v>47</v>
      </c>
      <c r="H330">
        <v>42.663154024794601</v>
      </c>
      <c r="I330">
        <v>-73.789101237433499</v>
      </c>
      <c r="J330" t="s">
        <v>22</v>
      </c>
      <c r="K330">
        <v>165</v>
      </c>
      <c r="L330">
        <v>28</v>
      </c>
      <c r="M330">
        <v>1</v>
      </c>
      <c r="N330" s="1">
        <v>45873</v>
      </c>
      <c r="O330">
        <v>0.09</v>
      </c>
      <c r="P330">
        <v>13</v>
      </c>
      <c r="Q330">
        <v>169</v>
      </c>
      <c r="R330">
        <v>1</v>
      </c>
    </row>
    <row r="331" spans="1:18" x14ac:dyDescent="0.35">
      <c r="A331">
        <v>1.3718290706233999E+18</v>
      </c>
      <c r="B331" t="s">
        <v>492</v>
      </c>
      <c r="C331">
        <v>265861488</v>
      </c>
      <c r="D331">
        <v>1.46940608597361E+18</v>
      </c>
      <c r="E331" t="s">
        <v>493</v>
      </c>
      <c r="G331" t="s">
        <v>25</v>
      </c>
      <c r="H331">
        <v>42.650406026844202</v>
      </c>
      <c r="I331">
        <v>-73.764331850786306</v>
      </c>
      <c r="J331" t="s">
        <v>22</v>
      </c>
      <c r="K331">
        <v>132</v>
      </c>
      <c r="L331">
        <v>1</v>
      </c>
      <c r="M331">
        <v>97</v>
      </c>
      <c r="N331" s="1">
        <v>46188</v>
      </c>
      <c r="O331">
        <v>6.66</v>
      </c>
      <c r="P331">
        <v>1</v>
      </c>
      <c r="Q331">
        <v>305</v>
      </c>
      <c r="R331">
        <v>81</v>
      </c>
    </row>
    <row r="332" spans="1:18" x14ac:dyDescent="0.35">
      <c r="A332">
        <v>1.37474717465374E+18</v>
      </c>
      <c r="B332" t="s">
        <v>494</v>
      </c>
      <c r="C332">
        <v>193923901</v>
      </c>
      <c r="D332">
        <v>1.4690097444389499E+18</v>
      </c>
      <c r="E332" t="s">
        <v>495</v>
      </c>
      <c r="G332" t="s">
        <v>34</v>
      </c>
      <c r="H332">
        <v>42.670569999999998</v>
      </c>
      <c r="I332">
        <v>-73.809389999999993</v>
      </c>
      <c r="J332" t="s">
        <v>22</v>
      </c>
      <c r="K332">
        <v>354</v>
      </c>
      <c r="L332">
        <v>1</v>
      </c>
      <c r="M332">
        <v>38</v>
      </c>
      <c r="N332" s="1">
        <v>46185</v>
      </c>
      <c r="O332">
        <v>3.43</v>
      </c>
      <c r="P332">
        <v>1</v>
      </c>
      <c r="Q332">
        <v>287</v>
      </c>
      <c r="R332">
        <v>38</v>
      </c>
    </row>
    <row r="333" spans="1:18" x14ac:dyDescent="0.35">
      <c r="A333">
        <v>1.3750076937205E+18</v>
      </c>
      <c r="B333" t="s">
        <v>496</v>
      </c>
      <c r="C333">
        <v>385963105</v>
      </c>
      <c r="D333">
        <v>1.4697937132408699E+18</v>
      </c>
      <c r="E333" t="s">
        <v>497</v>
      </c>
      <c r="G333" t="s">
        <v>34</v>
      </c>
      <c r="H333">
        <v>42.665984112297203</v>
      </c>
      <c r="I333">
        <v>-73.818800970911894</v>
      </c>
      <c r="J333" t="s">
        <v>22</v>
      </c>
      <c r="K333">
        <v>220</v>
      </c>
      <c r="L333">
        <v>7</v>
      </c>
      <c r="M333">
        <v>3</v>
      </c>
      <c r="N333" s="1">
        <v>45962</v>
      </c>
      <c r="O333">
        <v>0.23</v>
      </c>
      <c r="P333">
        <v>1</v>
      </c>
      <c r="Q333">
        <v>68</v>
      </c>
      <c r="R333">
        <v>2</v>
      </c>
    </row>
    <row r="334" spans="1:18" x14ac:dyDescent="0.35">
      <c r="A334">
        <v>1.3769896171621701E+18</v>
      </c>
      <c r="B334" t="s">
        <v>498</v>
      </c>
      <c r="C334">
        <v>233515764</v>
      </c>
      <c r="D334">
        <v>1.46924386914754E+18</v>
      </c>
      <c r="E334" t="s">
        <v>359</v>
      </c>
      <c r="G334" t="s">
        <v>64</v>
      </c>
      <c r="H334">
        <v>42.647644086043599</v>
      </c>
      <c r="I334">
        <v>-73.771592538366406</v>
      </c>
      <c r="J334" t="s">
        <v>22</v>
      </c>
      <c r="K334">
        <v>148</v>
      </c>
      <c r="L334">
        <v>1</v>
      </c>
      <c r="M334">
        <v>13</v>
      </c>
      <c r="N334" s="1">
        <v>46092</v>
      </c>
      <c r="O334">
        <v>0.88</v>
      </c>
      <c r="P334">
        <v>8</v>
      </c>
      <c r="Q334">
        <v>209</v>
      </c>
      <c r="R334">
        <v>11</v>
      </c>
    </row>
    <row r="335" spans="1:18" x14ac:dyDescent="0.35">
      <c r="A335">
        <v>1.37744691802526E+18</v>
      </c>
      <c r="B335" t="s">
        <v>499</v>
      </c>
      <c r="C335">
        <v>20536619</v>
      </c>
      <c r="D335">
        <v>1.4626135294231501E+18</v>
      </c>
      <c r="E335" t="s">
        <v>276</v>
      </c>
      <c r="G335" t="s">
        <v>47</v>
      </c>
      <c r="H335">
        <v>42.661482311833701</v>
      </c>
      <c r="I335">
        <v>-73.787618562607307</v>
      </c>
      <c r="J335" t="s">
        <v>31</v>
      </c>
      <c r="L335">
        <v>56</v>
      </c>
      <c r="M335">
        <v>3</v>
      </c>
      <c r="N335" s="1">
        <v>45956</v>
      </c>
      <c r="O335">
        <v>0.28000000000000003</v>
      </c>
      <c r="P335">
        <v>13</v>
      </c>
      <c r="Q335">
        <v>0</v>
      </c>
      <c r="R335">
        <v>3</v>
      </c>
    </row>
    <row r="336" spans="1:18" x14ac:dyDescent="0.35">
      <c r="A336">
        <v>1.37747184209474E+18</v>
      </c>
      <c r="B336" t="s">
        <v>500</v>
      </c>
      <c r="C336">
        <v>20536619</v>
      </c>
      <c r="D336">
        <v>1.4626135294231501E+18</v>
      </c>
      <c r="E336" t="s">
        <v>276</v>
      </c>
      <c r="G336" t="s">
        <v>47</v>
      </c>
      <c r="H336">
        <v>42.663106421847601</v>
      </c>
      <c r="I336">
        <v>-73.787161596564502</v>
      </c>
      <c r="J336" t="s">
        <v>31</v>
      </c>
      <c r="L336">
        <v>56</v>
      </c>
      <c r="M336">
        <v>2</v>
      </c>
      <c r="N336" s="1">
        <v>45984</v>
      </c>
      <c r="O336">
        <v>0.22</v>
      </c>
      <c r="P336">
        <v>13</v>
      </c>
      <c r="Q336">
        <v>0</v>
      </c>
      <c r="R336">
        <v>2</v>
      </c>
    </row>
    <row r="337" spans="1:18" x14ac:dyDescent="0.35">
      <c r="A337">
        <v>1.3774801679383099E+18</v>
      </c>
      <c r="B337" t="s">
        <v>501</v>
      </c>
      <c r="C337">
        <v>20536619</v>
      </c>
      <c r="D337">
        <v>1.4626135294231501E+18</v>
      </c>
      <c r="E337" t="s">
        <v>276</v>
      </c>
      <c r="G337" t="s">
        <v>47</v>
      </c>
      <c r="H337">
        <v>42.661830996335198</v>
      </c>
      <c r="I337">
        <v>-73.787550569400807</v>
      </c>
      <c r="J337" t="s">
        <v>31</v>
      </c>
      <c r="L337">
        <v>56</v>
      </c>
      <c r="M337">
        <v>2</v>
      </c>
      <c r="N337" s="1">
        <v>45984</v>
      </c>
      <c r="O337">
        <v>0.17</v>
      </c>
      <c r="P337">
        <v>13</v>
      </c>
      <c r="Q337">
        <v>0</v>
      </c>
      <c r="R337">
        <v>2</v>
      </c>
    </row>
    <row r="338" spans="1:18" x14ac:dyDescent="0.35">
      <c r="A338">
        <v>1.37990637757874E+18</v>
      </c>
      <c r="B338" t="s">
        <v>502</v>
      </c>
      <c r="C338">
        <v>233515764</v>
      </c>
      <c r="D338">
        <v>1.46924386914754E+18</v>
      </c>
      <c r="E338" t="s">
        <v>359</v>
      </c>
      <c r="G338" t="s">
        <v>64</v>
      </c>
      <c r="H338">
        <v>42.646286692808097</v>
      </c>
      <c r="I338">
        <v>-73.771530889140294</v>
      </c>
      <c r="J338" t="s">
        <v>22</v>
      </c>
      <c r="K338">
        <v>148</v>
      </c>
      <c r="L338">
        <v>1</v>
      </c>
      <c r="M338">
        <v>47</v>
      </c>
      <c r="N338" s="1">
        <v>46157</v>
      </c>
      <c r="O338">
        <v>3.12</v>
      </c>
      <c r="P338">
        <v>8</v>
      </c>
      <c r="Q338">
        <v>301</v>
      </c>
      <c r="R338">
        <v>38</v>
      </c>
    </row>
    <row r="339" spans="1:18" x14ac:dyDescent="0.35">
      <c r="A339">
        <v>1.3811635714202399E+18</v>
      </c>
      <c r="B339" t="s">
        <v>503</v>
      </c>
      <c r="C339">
        <v>466790114</v>
      </c>
      <c r="D339">
        <v>1.46811396819747E+18</v>
      </c>
      <c r="E339" t="s">
        <v>504</v>
      </c>
      <c r="G339" t="s">
        <v>40</v>
      </c>
      <c r="H339">
        <v>42.6823168458398</v>
      </c>
      <c r="I339">
        <v>-73.783671562819407</v>
      </c>
      <c r="J339" t="s">
        <v>22</v>
      </c>
      <c r="K339">
        <v>87</v>
      </c>
      <c r="L339">
        <v>1</v>
      </c>
      <c r="M339">
        <v>17</v>
      </c>
      <c r="N339" s="1">
        <v>46088</v>
      </c>
      <c r="O339">
        <v>1.1499999999999999</v>
      </c>
      <c r="P339">
        <v>29</v>
      </c>
      <c r="Q339">
        <v>363</v>
      </c>
      <c r="R339">
        <v>11</v>
      </c>
    </row>
    <row r="340" spans="1:18" x14ac:dyDescent="0.35">
      <c r="A340">
        <v>1.3835132413484201E+18</v>
      </c>
      <c r="B340" t="s">
        <v>505</v>
      </c>
      <c r="C340">
        <v>654226760</v>
      </c>
      <c r="D340">
        <v>1.4706445725086001E+18</v>
      </c>
      <c r="E340" t="s">
        <v>450</v>
      </c>
      <c r="G340" t="s">
        <v>34</v>
      </c>
      <c r="H340">
        <v>42.661909999999999</v>
      </c>
      <c r="I340">
        <v>-73.797441199999994</v>
      </c>
      <c r="J340" t="s">
        <v>22</v>
      </c>
      <c r="K340">
        <v>297</v>
      </c>
      <c r="L340">
        <v>1</v>
      </c>
      <c r="M340">
        <v>62</v>
      </c>
      <c r="N340" s="1">
        <v>46188</v>
      </c>
      <c r="O340">
        <v>5.31</v>
      </c>
      <c r="P340">
        <v>1</v>
      </c>
      <c r="Q340">
        <v>356</v>
      </c>
      <c r="R340">
        <v>62</v>
      </c>
    </row>
    <row r="341" spans="1:18" x14ac:dyDescent="0.35">
      <c r="A341">
        <v>1.3839106261152699E+18</v>
      </c>
      <c r="B341" t="s">
        <v>506</v>
      </c>
      <c r="C341">
        <v>20536619</v>
      </c>
      <c r="D341">
        <v>1.4626135294231501E+18</v>
      </c>
      <c r="E341" t="s">
        <v>276</v>
      </c>
      <c r="G341" t="s">
        <v>47</v>
      </c>
      <c r="H341">
        <v>42.663173035945498</v>
      </c>
      <c r="I341">
        <v>-73.789127554446296</v>
      </c>
      <c r="J341" t="s">
        <v>31</v>
      </c>
      <c r="L341">
        <v>56</v>
      </c>
      <c r="M341">
        <v>1</v>
      </c>
      <c r="N341" s="1">
        <v>45869</v>
      </c>
      <c r="O341">
        <v>0.09</v>
      </c>
      <c r="P341">
        <v>13</v>
      </c>
      <c r="Q341">
        <v>0</v>
      </c>
      <c r="R341">
        <v>1</v>
      </c>
    </row>
    <row r="342" spans="1:18" x14ac:dyDescent="0.35">
      <c r="A342">
        <v>1.39017127206032E+18</v>
      </c>
      <c r="B342" t="s">
        <v>507</v>
      </c>
      <c r="C342">
        <v>55596850</v>
      </c>
      <c r="D342">
        <v>1.46591063881871E+18</v>
      </c>
      <c r="E342" t="s">
        <v>508</v>
      </c>
      <c r="G342" t="s">
        <v>51</v>
      </c>
      <c r="H342">
        <v>42.660020000000003</v>
      </c>
      <c r="I342">
        <v>-73.793329999999997</v>
      </c>
      <c r="J342" t="s">
        <v>31</v>
      </c>
      <c r="K342">
        <v>55</v>
      </c>
      <c r="L342">
        <v>8</v>
      </c>
      <c r="M342">
        <v>1</v>
      </c>
      <c r="N342" s="1">
        <v>45792</v>
      </c>
      <c r="O342">
        <v>0.08</v>
      </c>
      <c r="P342">
        <v>3</v>
      </c>
      <c r="Q342">
        <v>258</v>
      </c>
      <c r="R342">
        <v>0</v>
      </c>
    </row>
    <row r="343" spans="1:18" x14ac:dyDescent="0.35">
      <c r="A343">
        <v>1.3934825425855301E+18</v>
      </c>
      <c r="B343" t="s">
        <v>509</v>
      </c>
      <c r="C343">
        <v>466790114</v>
      </c>
      <c r="D343">
        <v>1.46811396819747E+18</v>
      </c>
      <c r="E343" t="s">
        <v>504</v>
      </c>
      <c r="G343" t="s">
        <v>54</v>
      </c>
      <c r="H343">
        <v>42.6765214854736</v>
      </c>
      <c r="I343">
        <v>-73.781113838439893</v>
      </c>
      <c r="J343" t="s">
        <v>22</v>
      </c>
      <c r="K343">
        <v>88</v>
      </c>
      <c r="L343">
        <v>1</v>
      </c>
      <c r="M343">
        <v>12</v>
      </c>
      <c r="N343" s="1">
        <v>46151</v>
      </c>
      <c r="O343">
        <v>0.84</v>
      </c>
      <c r="P343">
        <v>29</v>
      </c>
      <c r="Q343">
        <v>363</v>
      </c>
      <c r="R343">
        <v>10</v>
      </c>
    </row>
    <row r="344" spans="1:18" x14ac:dyDescent="0.35">
      <c r="A344">
        <v>1.39363493690401E+18</v>
      </c>
      <c r="B344" t="s">
        <v>510</v>
      </c>
      <c r="C344">
        <v>55596850</v>
      </c>
      <c r="D344">
        <v>1.46591063881871E+18</v>
      </c>
      <c r="E344" t="s">
        <v>508</v>
      </c>
      <c r="G344" t="s">
        <v>51</v>
      </c>
      <c r="H344">
        <v>42.659475284293897</v>
      </c>
      <c r="I344">
        <v>-73.793681200123302</v>
      </c>
      <c r="J344" t="s">
        <v>31</v>
      </c>
      <c r="K344">
        <v>56</v>
      </c>
      <c r="L344">
        <v>7</v>
      </c>
      <c r="M344">
        <v>5</v>
      </c>
      <c r="N344" s="1">
        <v>46011</v>
      </c>
      <c r="O344">
        <v>0.36</v>
      </c>
      <c r="P344">
        <v>3</v>
      </c>
      <c r="Q344">
        <v>271</v>
      </c>
      <c r="R344">
        <v>3</v>
      </c>
    </row>
    <row r="345" spans="1:18" x14ac:dyDescent="0.35">
      <c r="A345">
        <v>1.39567167683391E+18</v>
      </c>
      <c r="B345" t="s">
        <v>511</v>
      </c>
      <c r="C345">
        <v>116935236</v>
      </c>
      <c r="D345">
        <v>1.46291058270339E+18</v>
      </c>
      <c r="E345" t="s">
        <v>254</v>
      </c>
      <c r="G345" t="s">
        <v>68</v>
      </c>
      <c r="H345">
        <v>42.669917189343998</v>
      </c>
      <c r="I345">
        <v>-73.7863292718624</v>
      </c>
      <c r="J345" t="s">
        <v>31</v>
      </c>
      <c r="K345">
        <v>57</v>
      </c>
      <c r="L345">
        <v>5</v>
      </c>
      <c r="M345">
        <v>4</v>
      </c>
      <c r="N345" s="1">
        <v>46171</v>
      </c>
      <c r="O345">
        <v>0.4</v>
      </c>
      <c r="P345">
        <v>5</v>
      </c>
      <c r="Q345">
        <v>319</v>
      </c>
      <c r="R345">
        <v>4</v>
      </c>
    </row>
    <row r="346" spans="1:18" x14ac:dyDescent="0.35">
      <c r="A346">
        <v>1.39692123597101E+18</v>
      </c>
      <c r="B346" t="s">
        <v>512</v>
      </c>
      <c r="C346">
        <v>55596850</v>
      </c>
      <c r="D346">
        <v>1.46591063881871E+18</v>
      </c>
      <c r="E346" t="s">
        <v>508</v>
      </c>
      <c r="G346" t="s">
        <v>34</v>
      </c>
      <c r="H346">
        <v>42.661116057130798</v>
      </c>
      <c r="I346">
        <v>-73.794081395516301</v>
      </c>
      <c r="J346" t="s">
        <v>31</v>
      </c>
      <c r="K346">
        <v>38</v>
      </c>
      <c r="L346">
        <v>28</v>
      </c>
      <c r="M346">
        <v>3</v>
      </c>
      <c r="N346" s="1">
        <v>45899</v>
      </c>
      <c r="O346">
        <v>0.25</v>
      </c>
      <c r="P346">
        <v>3</v>
      </c>
      <c r="Q346">
        <v>257</v>
      </c>
      <c r="R346">
        <v>3</v>
      </c>
    </row>
    <row r="347" spans="1:18" x14ac:dyDescent="0.35">
      <c r="A347">
        <v>1.40246118370451E+18</v>
      </c>
      <c r="B347" t="s">
        <v>513</v>
      </c>
      <c r="C347">
        <v>32379616</v>
      </c>
      <c r="D347">
        <v>1.4654754916985201E+18</v>
      </c>
      <c r="E347" t="s">
        <v>426</v>
      </c>
      <c r="G347" t="s">
        <v>47</v>
      </c>
      <c r="H347">
        <v>42.660529099999998</v>
      </c>
      <c r="I347">
        <v>-73.7831549</v>
      </c>
      <c r="J347" t="s">
        <v>22</v>
      </c>
      <c r="K347">
        <v>120</v>
      </c>
      <c r="L347">
        <v>14</v>
      </c>
      <c r="M347">
        <v>2</v>
      </c>
      <c r="N347" s="1">
        <v>45879</v>
      </c>
      <c r="O347">
        <v>0.17</v>
      </c>
      <c r="P347">
        <v>8</v>
      </c>
      <c r="Q347">
        <v>359</v>
      </c>
      <c r="R347">
        <v>2</v>
      </c>
    </row>
    <row r="348" spans="1:18" x14ac:dyDescent="0.35">
      <c r="A348">
        <v>1.40532722019297E+18</v>
      </c>
      <c r="B348" t="s">
        <v>514</v>
      </c>
      <c r="C348">
        <v>32379616</v>
      </c>
      <c r="D348">
        <v>1.4654754916985201E+18</v>
      </c>
      <c r="E348" t="s">
        <v>426</v>
      </c>
      <c r="G348" t="s">
        <v>47</v>
      </c>
      <c r="H348">
        <v>42.659903296506002</v>
      </c>
      <c r="I348">
        <v>-73.782573974358797</v>
      </c>
      <c r="J348" t="s">
        <v>31</v>
      </c>
      <c r="K348">
        <v>36</v>
      </c>
      <c r="L348">
        <v>28</v>
      </c>
      <c r="M348">
        <v>0</v>
      </c>
      <c r="P348">
        <v>8</v>
      </c>
      <c r="Q348">
        <v>305</v>
      </c>
      <c r="R348">
        <v>0</v>
      </c>
    </row>
    <row r="349" spans="1:18" x14ac:dyDescent="0.35">
      <c r="A349">
        <v>1.40964692143585E+18</v>
      </c>
      <c r="B349" t="s">
        <v>515</v>
      </c>
      <c r="C349">
        <v>692671333</v>
      </c>
      <c r="D349">
        <v>1.4707266121937999E+18</v>
      </c>
      <c r="E349" t="s">
        <v>516</v>
      </c>
      <c r="G349" t="s">
        <v>91</v>
      </c>
      <c r="H349">
        <v>42.6722593044463</v>
      </c>
      <c r="I349">
        <v>-73.739051990553804</v>
      </c>
      <c r="J349" t="s">
        <v>22</v>
      </c>
      <c r="K349">
        <v>159</v>
      </c>
      <c r="L349">
        <v>2</v>
      </c>
      <c r="M349">
        <v>7</v>
      </c>
      <c r="N349" s="1">
        <v>46178</v>
      </c>
      <c r="O349">
        <v>0.72</v>
      </c>
      <c r="P349">
        <v>1</v>
      </c>
      <c r="Q349">
        <v>57</v>
      </c>
      <c r="R349">
        <v>7</v>
      </c>
    </row>
    <row r="350" spans="1:18" x14ac:dyDescent="0.35">
      <c r="A350">
        <v>1.42999739038367E+18</v>
      </c>
      <c r="B350" t="s">
        <v>517</v>
      </c>
      <c r="C350">
        <v>71003491</v>
      </c>
      <c r="D350">
        <v>1.4668785879215099E+18</v>
      </c>
      <c r="E350" t="s">
        <v>518</v>
      </c>
      <c r="G350" t="s">
        <v>21</v>
      </c>
      <c r="H350">
        <v>42.656649999999999</v>
      </c>
      <c r="I350">
        <v>-73.748679999999993</v>
      </c>
      <c r="J350" t="s">
        <v>22</v>
      </c>
      <c r="K350">
        <v>540</v>
      </c>
      <c r="L350">
        <v>2</v>
      </c>
      <c r="M350">
        <v>22</v>
      </c>
      <c r="N350" s="1">
        <v>46170</v>
      </c>
      <c r="O350">
        <v>2.14</v>
      </c>
      <c r="P350">
        <v>1</v>
      </c>
      <c r="Q350">
        <v>241</v>
      </c>
      <c r="R350">
        <v>22</v>
      </c>
    </row>
    <row r="351" spans="1:18" x14ac:dyDescent="0.35">
      <c r="A351">
        <v>1.4327212014308301E+18</v>
      </c>
      <c r="B351" t="s">
        <v>519</v>
      </c>
      <c r="C351">
        <v>52123673</v>
      </c>
      <c r="D351">
        <v>1.4658296871053901E+18</v>
      </c>
      <c r="E351" t="s">
        <v>409</v>
      </c>
      <c r="G351" t="s">
        <v>68</v>
      </c>
      <c r="H351">
        <v>42.669159851758003</v>
      </c>
      <c r="I351">
        <v>-73.785287940569006</v>
      </c>
      <c r="J351" t="s">
        <v>22</v>
      </c>
      <c r="K351">
        <v>259</v>
      </c>
      <c r="L351">
        <v>2</v>
      </c>
      <c r="M351">
        <v>4</v>
      </c>
      <c r="N351" s="1">
        <v>45900</v>
      </c>
      <c r="O351">
        <v>0.36</v>
      </c>
      <c r="P351">
        <v>3</v>
      </c>
      <c r="Q351">
        <v>350</v>
      </c>
      <c r="R351">
        <v>4</v>
      </c>
    </row>
    <row r="352" spans="1:18" x14ac:dyDescent="0.35">
      <c r="A352">
        <v>1.4328231964736599E+18</v>
      </c>
      <c r="B352" t="s">
        <v>520</v>
      </c>
      <c r="C352">
        <v>531209536</v>
      </c>
      <c r="D352">
        <v>1.47038611691843E+18</v>
      </c>
      <c r="E352" t="s">
        <v>341</v>
      </c>
      <c r="G352" t="s">
        <v>21</v>
      </c>
      <c r="H352">
        <v>42.657920787048802</v>
      </c>
      <c r="I352">
        <v>-73.750265664186898</v>
      </c>
      <c r="J352" t="s">
        <v>22</v>
      </c>
      <c r="K352">
        <v>157</v>
      </c>
      <c r="L352">
        <v>1</v>
      </c>
      <c r="M352">
        <v>1</v>
      </c>
      <c r="N352" s="1">
        <v>46075</v>
      </c>
      <c r="O352">
        <v>0.25</v>
      </c>
      <c r="P352">
        <v>2</v>
      </c>
      <c r="Q352">
        <v>110</v>
      </c>
      <c r="R352">
        <v>1</v>
      </c>
    </row>
    <row r="353" spans="1:18" x14ac:dyDescent="0.35">
      <c r="A353">
        <v>1.43410818358671E+18</v>
      </c>
      <c r="B353" t="s">
        <v>521</v>
      </c>
      <c r="C353">
        <v>466790114</v>
      </c>
      <c r="D353">
        <v>1.46811396819747E+18</v>
      </c>
      <c r="E353" t="s">
        <v>504</v>
      </c>
      <c r="G353" t="s">
        <v>40</v>
      </c>
      <c r="H353">
        <v>42.682246872011902</v>
      </c>
      <c r="I353">
        <v>-73.7833838965892</v>
      </c>
      <c r="J353" t="s">
        <v>22</v>
      </c>
      <c r="K353">
        <v>94</v>
      </c>
      <c r="L353">
        <v>1</v>
      </c>
      <c r="M353">
        <v>21</v>
      </c>
      <c r="N353" s="1">
        <v>46171</v>
      </c>
      <c r="O353">
        <v>1.68</v>
      </c>
      <c r="P353">
        <v>29</v>
      </c>
      <c r="Q353">
        <v>364</v>
      </c>
      <c r="R353">
        <v>20</v>
      </c>
    </row>
    <row r="354" spans="1:18" x14ac:dyDescent="0.35">
      <c r="A354">
        <v>1.4341126532595699E+18</v>
      </c>
      <c r="B354" t="s">
        <v>522</v>
      </c>
      <c r="C354">
        <v>466790114</v>
      </c>
      <c r="D354">
        <v>1.46811396819747E+18</v>
      </c>
      <c r="E354" t="s">
        <v>504</v>
      </c>
      <c r="G354" t="s">
        <v>40</v>
      </c>
      <c r="H354">
        <v>42.6805255653016</v>
      </c>
      <c r="I354">
        <v>-73.785246163893802</v>
      </c>
      <c r="J354" t="s">
        <v>22</v>
      </c>
      <c r="K354">
        <v>85</v>
      </c>
      <c r="L354">
        <v>1</v>
      </c>
      <c r="M354">
        <v>7</v>
      </c>
      <c r="N354" s="1">
        <v>45982</v>
      </c>
      <c r="O354">
        <v>0.62</v>
      </c>
      <c r="P354">
        <v>29</v>
      </c>
      <c r="Q354">
        <v>358</v>
      </c>
      <c r="R354">
        <v>7</v>
      </c>
    </row>
    <row r="355" spans="1:18" x14ac:dyDescent="0.35">
      <c r="A355">
        <v>1.4355905707693E+18</v>
      </c>
      <c r="B355" t="s">
        <v>523</v>
      </c>
      <c r="C355">
        <v>167102397</v>
      </c>
      <c r="D355">
        <v>1.4686185084415501E+18</v>
      </c>
      <c r="E355" t="s">
        <v>524</v>
      </c>
      <c r="G355" t="s">
        <v>25</v>
      </c>
      <c r="H355">
        <v>42.654226973975703</v>
      </c>
      <c r="I355">
        <v>-73.767203907360695</v>
      </c>
      <c r="J355" t="s">
        <v>22</v>
      </c>
      <c r="K355">
        <v>117</v>
      </c>
      <c r="L355">
        <v>2</v>
      </c>
      <c r="M355">
        <v>29</v>
      </c>
      <c r="N355" s="1">
        <v>46182</v>
      </c>
      <c r="O355">
        <v>2.4300000000000002</v>
      </c>
      <c r="P355">
        <v>2</v>
      </c>
      <c r="Q355">
        <v>243</v>
      </c>
      <c r="R355">
        <v>29</v>
      </c>
    </row>
    <row r="356" spans="1:18" x14ac:dyDescent="0.35">
      <c r="A356">
        <v>1.4357972299426401E+18</v>
      </c>
      <c r="B356" t="s">
        <v>525</v>
      </c>
      <c r="C356">
        <v>130497392</v>
      </c>
      <c r="D356">
        <v>1.4683074810125299E+18</v>
      </c>
      <c r="E356" t="s">
        <v>526</v>
      </c>
      <c r="G356" t="s">
        <v>25</v>
      </c>
      <c r="H356">
        <v>42.657589999999999</v>
      </c>
      <c r="I356">
        <v>-73.765199999999993</v>
      </c>
      <c r="J356" t="s">
        <v>22</v>
      </c>
      <c r="L356">
        <v>7</v>
      </c>
      <c r="M356">
        <v>0</v>
      </c>
      <c r="P356">
        <v>2</v>
      </c>
      <c r="Q356">
        <v>365</v>
      </c>
      <c r="R356">
        <v>0</v>
      </c>
    </row>
    <row r="357" spans="1:18" x14ac:dyDescent="0.35">
      <c r="A357">
        <v>1.4394722023767401E+18</v>
      </c>
      <c r="B357" t="s">
        <v>527</v>
      </c>
      <c r="C357">
        <v>44434571</v>
      </c>
      <c r="D357">
        <v>1.46269698801421E+18</v>
      </c>
      <c r="E357" t="s">
        <v>87</v>
      </c>
      <c r="G357" t="s">
        <v>28</v>
      </c>
      <c r="H357">
        <v>42.644390000000001</v>
      </c>
      <c r="I357">
        <v>-73.752960000000002</v>
      </c>
      <c r="J357" t="s">
        <v>22</v>
      </c>
      <c r="K357">
        <v>242</v>
      </c>
      <c r="L357">
        <v>1</v>
      </c>
      <c r="M357">
        <v>35</v>
      </c>
      <c r="N357" s="1">
        <v>46166</v>
      </c>
      <c r="O357">
        <v>2.91</v>
      </c>
      <c r="P357">
        <v>11</v>
      </c>
      <c r="Q357">
        <v>167</v>
      </c>
      <c r="R357">
        <v>35</v>
      </c>
    </row>
    <row r="358" spans="1:18" x14ac:dyDescent="0.35">
      <c r="A358">
        <v>1.4416152907274801E+18</v>
      </c>
      <c r="B358" t="s">
        <v>528</v>
      </c>
      <c r="C358">
        <v>652223872</v>
      </c>
      <c r="D358">
        <v>1.4706403331062999E+18</v>
      </c>
      <c r="E358" t="s">
        <v>529</v>
      </c>
      <c r="G358" t="s">
        <v>47</v>
      </c>
      <c r="H358">
        <v>42.660350000000001</v>
      </c>
      <c r="I358">
        <v>-73.782960000000003</v>
      </c>
      <c r="J358" t="s">
        <v>31</v>
      </c>
      <c r="K358">
        <v>44</v>
      </c>
      <c r="L358">
        <v>3</v>
      </c>
      <c r="M358">
        <v>2</v>
      </c>
      <c r="N358" s="1">
        <v>45868</v>
      </c>
      <c r="O358">
        <v>0.17</v>
      </c>
      <c r="P358">
        <v>1</v>
      </c>
      <c r="Q358">
        <v>365</v>
      </c>
      <c r="R358">
        <v>2</v>
      </c>
    </row>
    <row r="359" spans="1:18" x14ac:dyDescent="0.35">
      <c r="A359">
        <v>1.4472025568493599E+18</v>
      </c>
      <c r="B359" t="s">
        <v>530</v>
      </c>
      <c r="C359">
        <v>52123673</v>
      </c>
      <c r="D359">
        <v>1.4658296871053901E+18</v>
      </c>
      <c r="E359" t="s">
        <v>409</v>
      </c>
      <c r="G359" t="s">
        <v>68</v>
      </c>
      <c r="H359">
        <v>42.669510000000002</v>
      </c>
      <c r="I359">
        <v>-73.787360000000007</v>
      </c>
      <c r="J359" t="s">
        <v>22</v>
      </c>
      <c r="K359">
        <v>220</v>
      </c>
      <c r="L359">
        <v>2</v>
      </c>
      <c r="M359">
        <v>3</v>
      </c>
      <c r="N359" s="1">
        <v>45989</v>
      </c>
      <c r="O359">
        <v>0.27</v>
      </c>
      <c r="P359">
        <v>3</v>
      </c>
      <c r="Q359">
        <v>361</v>
      </c>
      <c r="R359">
        <v>3</v>
      </c>
    </row>
    <row r="360" spans="1:18" x14ac:dyDescent="0.35">
      <c r="A360">
        <v>1.4485017191669199E+18</v>
      </c>
      <c r="B360" t="s">
        <v>531</v>
      </c>
      <c r="C360">
        <v>44434571</v>
      </c>
      <c r="D360">
        <v>1.46269698801421E+18</v>
      </c>
      <c r="E360" t="s">
        <v>87</v>
      </c>
      <c r="G360" t="s">
        <v>28</v>
      </c>
      <c r="H360">
        <v>42.645870000000002</v>
      </c>
      <c r="I360">
        <v>-73.753559999999993</v>
      </c>
      <c r="J360" t="s">
        <v>22</v>
      </c>
      <c r="K360">
        <v>180</v>
      </c>
      <c r="L360">
        <v>1</v>
      </c>
      <c r="M360">
        <v>15</v>
      </c>
      <c r="N360" s="1">
        <v>46111</v>
      </c>
      <c r="O360">
        <v>1.3</v>
      </c>
      <c r="P360">
        <v>11</v>
      </c>
      <c r="Q360">
        <v>353</v>
      </c>
      <c r="R360">
        <v>15</v>
      </c>
    </row>
    <row r="361" spans="1:18" x14ac:dyDescent="0.35">
      <c r="A361">
        <v>1.45013672090131E+18</v>
      </c>
      <c r="B361" t="s">
        <v>532</v>
      </c>
      <c r="C361">
        <v>675767467</v>
      </c>
      <c r="D361">
        <v>1.47069154196701E+18</v>
      </c>
      <c r="E361" t="s">
        <v>533</v>
      </c>
      <c r="G361" t="s">
        <v>28</v>
      </c>
      <c r="H361">
        <v>42.645350000000001</v>
      </c>
      <c r="I361">
        <v>-73.756780000000006</v>
      </c>
      <c r="J361" t="s">
        <v>22</v>
      </c>
      <c r="K361">
        <v>75</v>
      </c>
      <c r="L361">
        <v>1</v>
      </c>
      <c r="M361">
        <v>88</v>
      </c>
      <c r="N361" s="1">
        <v>46187</v>
      </c>
      <c r="O361">
        <v>8.07</v>
      </c>
      <c r="P361">
        <v>2</v>
      </c>
      <c r="Q361">
        <v>319</v>
      </c>
      <c r="R361">
        <v>88</v>
      </c>
    </row>
    <row r="362" spans="1:18" x14ac:dyDescent="0.35">
      <c r="A362">
        <v>1.45015632956093E+18</v>
      </c>
      <c r="B362" t="s">
        <v>534</v>
      </c>
      <c r="C362">
        <v>675767467</v>
      </c>
      <c r="D362">
        <v>1.47069154196701E+18</v>
      </c>
      <c r="E362" t="s">
        <v>533</v>
      </c>
      <c r="G362" t="s">
        <v>28</v>
      </c>
      <c r="H362">
        <v>42.645104811339401</v>
      </c>
      <c r="I362">
        <v>-73.757121133797099</v>
      </c>
      <c r="J362" t="s">
        <v>22</v>
      </c>
      <c r="K362">
        <v>75</v>
      </c>
      <c r="L362">
        <v>1</v>
      </c>
      <c r="M362">
        <v>84</v>
      </c>
      <c r="N362" s="1">
        <v>46180</v>
      </c>
      <c r="O362">
        <v>7.54</v>
      </c>
      <c r="P362">
        <v>2</v>
      </c>
      <c r="Q362">
        <v>323</v>
      </c>
      <c r="R362">
        <v>84</v>
      </c>
    </row>
    <row r="363" spans="1:18" x14ac:dyDescent="0.35">
      <c r="A363">
        <v>1.45349300358464E+18</v>
      </c>
      <c r="B363" t="s">
        <v>535</v>
      </c>
      <c r="C363">
        <v>696324825</v>
      </c>
      <c r="D363">
        <v>1.47073420223987E+18</v>
      </c>
      <c r="E363" t="s">
        <v>536</v>
      </c>
      <c r="G363" t="s">
        <v>40</v>
      </c>
      <c r="H363">
        <v>42.678781213318501</v>
      </c>
      <c r="I363">
        <v>-73.782129197114003</v>
      </c>
      <c r="J363" t="s">
        <v>537</v>
      </c>
      <c r="L363">
        <v>1</v>
      </c>
      <c r="M363">
        <v>2</v>
      </c>
      <c r="N363" s="1">
        <v>45879</v>
      </c>
      <c r="O363">
        <v>0.18</v>
      </c>
      <c r="P363">
        <v>1</v>
      </c>
      <c r="Q363">
        <v>87</v>
      </c>
      <c r="R363">
        <v>2</v>
      </c>
    </row>
    <row r="364" spans="1:18" x14ac:dyDescent="0.35">
      <c r="A364">
        <v>1.4538487110037601E+18</v>
      </c>
      <c r="B364" t="s">
        <v>538</v>
      </c>
      <c r="C364">
        <v>172658781</v>
      </c>
      <c r="D364">
        <v>1.4686758490541901E+18</v>
      </c>
      <c r="E364" t="s">
        <v>252</v>
      </c>
      <c r="G364" t="s">
        <v>51</v>
      </c>
      <c r="H364">
        <v>42.656157800000003</v>
      </c>
      <c r="I364">
        <v>-73.792112599999996</v>
      </c>
      <c r="J364" t="s">
        <v>22</v>
      </c>
      <c r="K364">
        <v>107</v>
      </c>
      <c r="L364">
        <v>31</v>
      </c>
      <c r="M364">
        <v>2</v>
      </c>
      <c r="N364" s="1">
        <v>46083</v>
      </c>
      <c r="O364">
        <v>0.28999999999999998</v>
      </c>
      <c r="P364">
        <v>2</v>
      </c>
      <c r="Q364">
        <v>70</v>
      </c>
      <c r="R364">
        <v>2</v>
      </c>
    </row>
    <row r="365" spans="1:18" x14ac:dyDescent="0.35">
      <c r="A365">
        <v>1.4544156553612001E+18</v>
      </c>
      <c r="B365" t="s">
        <v>539</v>
      </c>
      <c r="C365">
        <v>466790114</v>
      </c>
      <c r="D365">
        <v>1.46811396819747E+18</v>
      </c>
      <c r="E365" t="s">
        <v>504</v>
      </c>
      <c r="G365" t="s">
        <v>54</v>
      </c>
      <c r="H365">
        <v>42.676189999999998</v>
      </c>
      <c r="I365">
        <v>-73.781210000000002</v>
      </c>
      <c r="J365" t="s">
        <v>22</v>
      </c>
      <c r="K365">
        <v>83</v>
      </c>
      <c r="L365">
        <v>1</v>
      </c>
      <c r="M365">
        <v>3</v>
      </c>
      <c r="N365" s="1">
        <v>46061</v>
      </c>
      <c r="O365">
        <v>0.28000000000000003</v>
      </c>
      <c r="P365">
        <v>29</v>
      </c>
      <c r="Q365">
        <v>365</v>
      </c>
      <c r="R365">
        <v>3</v>
      </c>
    </row>
    <row r="366" spans="1:18" x14ac:dyDescent="0.35">
      <c r="A366">
        <v>1.4544171080907899E+18</v>
      </c>
      <c r="B366" t="s">
        <v>540</v>
      </c>
      <c r="C366">
        <v>466790114</v>
      </c>
      <c r="D366">
        <v>1.46811396819747E+18</v>
      </c>
      <c r="E366" t="s">
        <v>504</v>
      </c>
      <c r="G366" t="s">
        <v>54</v>
      </c>
      <c r="H366">
        <v>42.676389999999998</v>
      </c>
      <c r="I366">
        <v>-73.780860000000004</v>
      </c>
      <c r="J366" t="s">
        <v>22</v>
      </c>
      <c r="K366">
        <v>90</v>
      </c>
      <c r="L366">
        <v>1</v>
      </c>
      <c r="M366">
        <v>15</v>
      </c>
      <c r="N366" s="1">
        <v>46159</v>
      </c>
      <c r="O366">
        <v>1.35</v>
      </c>
      <c r="P366">
        <v>29</v>
      </c>
      <c r="Q366">
        <v>363</v>
      </c>
      <c r="R366">
        <v>15</v>
      </c>
    </row>
    <row r="367" spans="1:18" x14ac:dyDescent="0.35">
      <c r="A367">
        <v>1.4544183568389601E+18</v>
      </c>
      <c r="B367" t="s">
        <v>541</v>
      </c>
      <c r="C367">
        <v>466790114</v>
      </c>
      <c r="D367">
        <v>1.46811396819747E+18</v>
      </c>
      <c r="E367" t="s">
        <v>504</v>
      </c>
      <c r="G367" t="s">
        <v>54</v>
      </c>
      <c r="H367">
        <v>42.676119999999997</v>
      </c>
      <c r="I367">
        <v>-73.780919999999995</v>
      </c>
      <c r="J367" t="s">
        <v>22</v>
      </c>
      <c r="K367">
        <v>104</v>
      </c>
      <c r="L367">
        <v>1</v>
      </c>
      <c r="M367">
        <v>21</v>
      </c>
      <c r="N367" s="1">
        <v>46099</v>
      </c>
      <c r="O367">
        <v>1.81</v>
      </c>
      <c r="P367">
        <v>29</v>
      </c>
      <c r="Q367">
        <v>361</v>
      </c>
      <c r="R367">
        <v>21</v>
      </c>
    </row>
    <row r="368" spans="1:18" x14ac:dyDescent="0.35">
      <c r="A368">
        <v>1.45579992435008E+18</v>
      </c>
      <c r="B368" t="s">
        <v>542</v>
      </c>
      <c r="C368">
        <v>37769478</v>
      </c>
      <c r="D368">
        <v>1.4655652968529201E+18</v>
      </c>
      <c r="E368" t="s">
        <v>182</v>
      </c>
      <c r="G368" t="s">
        <v>47</v>
      </c>
      <c r="H368">
        <v>42.6635558481141</v>
      </c>
      <c r="I368">
        <v>-73.793458886527702</v>
      </c>
      <c r="J368" t="s">
        <v>22</v>
      </c>
      <c r="K368">
        <v>160</v>
      </c>
      <c r="L368">
        <v>1</v>
      </c>
      <c r="M368">
        <v>7</v>
      </c>
      <c r="N368" s="1">
        <v>46144</v>
      </c>
      <c r="O368">
        <v>0.62</v>
      </c>
      <c r="P368">
        <v>16</v>
      </c>
      <c r="Q368">
        <v>353</v>
      </c>
      <c r="R368">
        <v>7</v>
      </c>
    </row>
    <row r="369" spans="1:18" x14ac:dyDescent="0.35">
      <c r="A369">
        <v>1.45912616882801E+18</v>
      </c>
      <c r="B369" t="s">
        <v>543</v>
      </c>
      <c r="C369">
        <v>363028988</v>
      </c>
      <c r="D369">
        <v>1.4697292062661299E+18</v>
      </c>
      <c r="E369" t="s">
        <v>544</v>
      </c>
      <c r="G369" t="s">
        <v>34</v>
      </c>
      <c r="H369">
        <v>42.667700000000004</v>
      </c>
      <c r="I369">
        <v>-73.800229999999999</v>
      </c>
      <c r="J369" t="s">
        <v>22</v>
      </c>
      <c r="K369">
        <v>81</v>
      </c>
      <c r="L369">
        <v>5</v>
      </c>
      <c r="M369">
        <v>24</v>
      </c>
      <c r="N369" s="1">
        <v>46168</v>
      </c>
      <c r="O369">
        <v>2.14</v>
      </c>
      <c r="P369">
        <v>5</v>
      </c>
      <c r="Q369">
        <v>300</v>
      </c>
      <c r="R369">
        <v>24</v>
      </c>
    </row>
    <row r="370" spans="1:18" x14ac:dyDescent="0.35">
      <c r="A370">
        <v>1.4597183147285399E+18</v>
      </c>
      <c r="B370" t="s">
        <v>545</v>
      </c>
      <c r="C370">
        <v>272907816</v>
      </c>
      <c r="D370">
        <v>1.4694403115051599E+18</v>
      </c>
      <c r="E370" t="s">
        <v>119</v>
      </c>
      <c r="G370" t="s">
        <v>28</v>
      </c>
      <c r="H370">
        <v>42.646039999999999</v>
      </c>
      <c r="I370">
        <v>-73.754189999999994</v>
      </c>
      <c r="J370" t="s">
        <v>22</v>
      </c>
      <c r="K370">
        <v>309</v>
      </c>
      <c r="L370">
        <v>1</v>
      </c>
      <c r="M370">
        <v>17</v>
      </c>
      <c r="N370" s="1">
        <v>46187</v>
      </c>
      <c r="O370">
        <v>1.54</v>
      </c>
      <c r="P370">
        <v>3</v>
      </c>
      <c r="Q370">
        <v>83</v>
      </c>
      <c r="R370">
        <v>17</v>
      </c>
    </row>
    <row r="371" spans="1:18" x14ac:dyDescent="0.35">
      <c r="A371">
        <v>1.46250551533885E+18</v>
      </c>
      <c r="B371" t="s">
        <v>546</v>
      </c>
      <c r="C371">
        <v>181867269</v>
      </c>
      <c r="D371">
        <v>1.4687551362943401E+18</v>
      </c>
      <c r="E371" t="s">
        <v>547</v>
      </c>
      <c r="G371" t="s">
        <v>28</v>
      </c>
      <c r="H371">
        <v>42.644030000000001</v>
      </c>
      <c r="I371">
        <v>-73.758529999999993</v>
      </c>
      <c r="J371" t="s">
        <v>22</v>
      </c>
      <c r="K371">
        <v>199</v>
      </c>
      <c r="L371">
        <v>1</v>
      </c>
      <c r="M371">
        <v>52</v>
      </c>
      <c r="N371" s="1">
        <v>46187</v>
      </c>
      <c r="O371">
        <v>4.8</v>
      </c>
      <c r="P371">
        <v>2</v>
      </c>
      <c r="Q371">
        <v>322</v>
      </c>
      <c r="R371">
        <v>52</v>
      </c>
    </row>
    <row r="372" spans="1:18" x14ac:dyDescent="0.35">
      <c r="A372">
        <v>1.4647828048928699E+18</v>
      </c>
      <c r="B372" t="s">
        <v>548</v>
      </c>
      <c r="C372">
        <v>181867269</v>
      </c>
      <c r="D372">
        <v>1.4687551362943401E+18</v>
      </c>
      <c r="E372" t="s">
        <v>547</v>
      </c>
      <c r="G372" t="s">
        <v>28</v>
      </c>
      <c r="H372">
        <v>42.644910000000003</v>
      </c>
      <c r="I372">
        <v>-73.759399999999999</v>
      </c>
      <c r="J372" t="s">
        <v>22</v>
      </c>
      <c r="K372">
        <v>199</v>
      </c>
      <c r="L372">
        <v>1</v>
      </c>
      <c r="M372">
        <v>38</v>
      </c>
      <c r="N372" s="1">
        <v>46187</v>
      </c>
      <c r="O372">
        <v>3.54</v>
      </c>
      <c r="P372">
        <v>2</v>
      </c>
      <c r="Q372">
        <v>343</v>
      </c>
      <c r="R372">
        <v>38</v>
      </c>
    </row>
    <row r="373" spans="1:18" x14ac:dyDescent="0.35">
      <c r="A373">
        <v>1.4657972749047099E+18</v>
      </c>
      <c r="B373" t="s">
        <v>549</v>
      </c>
      <c r="C373">
        <v>418250661</v>
      </c>
      <c r="D373">
        <v>1.4636530710146601E+18</v>
      </c>
      <c r="E373" t="s">
        <v>381</v>
      </c>
      <c r="G373" t="s">
        <v>21</v>
      </c>
      <c r="H373">
        <v>42.657040000000002</v>
      </c>
      <c r="I373">
        <v>-73.751670000000004</v>
      </c>
      <c r="J373" t="s">
        <v>22</v>
      </c>
      <c r="K373">
        <v>133</v>
      </c>
      <c r="L373">
        <v>14</v>
      </c>
      <c r="M373">
        <v>0</v>
      </c>
      <c r="P373">
        <v>2</v>
      </c>
      <c r="Q373">
        <v>350</v>
      </c>
      <c r="R373">
        <v>0</v>
      </c>
    </row>
    <row r="374" spans="1:18" x14ac:dyDescent="0.35">
      <c r="A374">
        <v>1.4681139671565199E+18</v>
      </c>
      <c r="B374" t="s">
        <v>550</v>
      </c>
      <c r="C374">
        <v>466790114</v>
      </c>
      <c r="D374">
        <v>1.46811396819747E+18</v>
      </c>
      <c r="E374" t="s">
        <v>504</v>
      </c>
      <c r="G374" t="s">
        <v>54</v>
      </c>
      <c r="H374">
        <v>42.676270000000002</v>
      </c>
      <c r="I374">
        <v>-73.782259999999994</v>
      </c>
      <c r="J374" t="s">
        <v>22</v>
      </c>
      <c r="K374">
        <v>91</v>
      </c>
      <c r="L374">
        <v>1</v>
      </c>
      <c r="M374">
        <v>6</v>
      </c>
      <c r="N374" s="1">
        <v>46151</v>
      </c>
      <c r="O374">
        <v>0.63</v>
      </c>
      <c r="P374">
        <v>29</v>
      </c>
      <c r="Q374">
        <v>360</v>
      </c>
      <c r="R374">
        <v>6</v>
      </c>
    </row>
    <row r="375" spans="1:18" x14ac:dyDescent="0.35">
      <c r="A375">
        <v>1.46811901913634E+18</v>
      </c>
      <c r="B375" t="s">
        <v>551</v>
      </c>
      <c r="C375">
        <v>466790114</v>
      </c>
      <c r="D375">
        <v>1.46811396819747E+18</v>
      </c>
      <c r="E375" t="s">
        <v>504</v>
      </c>
      <c r="G375" t="s">
        <v>40</v>
      </c>
      <c r="H375">
        <v>42.680226031526402</v>
      </c>
      <c r="I375">
        <v>-73.783368808408198</v>
      </c>
      <c r="J375" t="s">
        <v>22</v>
      </c>
      <c r="K375">
        <v>97</v>
      </c>
      <c r="L375">
        <v>1</v>
      </c>
      <c r="M375">
        <v>5</v>
      </c>
      <c r="N375" s="1">
        <v>46172</v>
      </c>
      <c r="O375">
        <v>0.56000000000000005</v>
      </c>
      <c r="P375">
        <v>29</v>
      </c>
      <c r="Q375">
        <v>360</v>
      </c>
      <c r="R375">
        <v>5</v>
      </c>
    </row>
    <row r="376" spans="1:18" x14ac:dyDescent="0.35">
      <c r="A376">
        <v>1.4704934880400699E+18</v>
      </c>
      <c r="B376" t="s">
        <v>552</v>
      </c>
      <c r="C376">
        <v>564967431</v>
      </c>
      <c r="D376">
        <v>1.4704934889487401E+18</v>
      </c>
      <c r="E376" t="s">
        <v>381</v>
      </c>
      <c r="G376" t="s">
        <v>25</v>
      </c>
      <c r="H376">
        <v>42.651161201755698</v>
      </c>
      <c r="I376">
        <v>-73.764894939959007</v>
      </c>
      <c r="J376" t="s">
        <v>22</v>
      </c>
      <c r="K376">
        <v>139</v>
      </c>
      <c r="L376">
        <v>2</v>
      </c>
      <c r="M376">
        <v>2</v>
      </c>
      <c r="N376" s="1">
        <v>46079</v>
      </c>
      <c r="O376">
        <v>0.49</v>
      </c>
      <c r="P376">
        <v>3</v>
      </c>
      <c r="Q376">
        <v>290</v>
      </c>
      <c r="R376">
        <v>2</v>
      </c>
    </row>
    <row r="377" spans="1:18" x14ac:dyDescent="0.35">
      <c r="A377">
        <v>1.47212250916078E+18</v>
      </c>
      <c r="B377" t="s">
        <v>553</v>
      </c>
      <c r="C377">
        <v>47625981</v>
      </c>
      <c r="D377">
        <v>1.46270726328816E+18</v>
      </c>
      <c r="E377" t="s">
        <v>132</v>
      </c>
      <c r="G377" t="s">
        <v>91</v>
      </c>
      <c r="H377">
        <v>42.657910000000001</v>
      </c>
      <c r="I377">
        <v>-73.746690000000001</v>
      </c>
      <c r="J377" t="s">
        <v>22</v>
      </c>
      <c r="K377">
        <v>172</v>
      </c>
      <c r="L377">
        <v>1</v>
      </c>
      <c r="M377">
        <v>13</v>
      </c>
      <c r="N377" s="1">
        <v>46151</v>
      </c>
      <c r="O377">
        <v>1.2</v>
      </c>
      <c r="P377">
        <v>16</v>
      </c>
      <c r="Q377">
        <v>352</v>
      </c>
      <c r="R377">
        <v>13</v>
      </c>
    </row>
    <row r="378" spans="1:18" x14ac:dyDescent="0.35">
      <c r="A378">
        <v>1.4734859410651799E+18</v>
      </c>
      <c r="B378" t="s">
        <v>554</v>
      </c>
      <c r="C378">
        <v>20536619</v>
      </c>
      <c r="D378">
        <v>1.4626135294231501E+18</v>
      </c>
      <c r="E378" t="s">
        <v>276</v>
      </c>
      <c r="G378" t="s">
        <v>47</v>
      </c>
      <c r="H378">
        <v>42.662950000000002</v>
      </c>
      <c r="I378">
        <v>-73.78792</v>
      </c>
      <c r="J378" t="s">
        <v>31</v>
      </c>
      <c r="K378">
        <v>82</v>
      </c>
      <c r="L378">
        <v>4</v>
      </c>
      <c r="M378">
        <v>2</v>
      </c>
      <c r="N378" s="1">
        <v>45916</v>
      </c>
      <c r="O378">
        <v>0.19</v>
      </c>
      <c r="P378">
        <v>13</v>
      </c>
      <c r="Q378">
        <v>50</v>
      </c>
      <c r="R378">
        <v>2</v>
      </c>
    </row>
    <row r="379" spans="1:18" x14ac:dyDescent="0.35">
      <c r="A379">
        <v>1.47350094393298E+18</v>
      </c>
      <c r="B379" t="s">
        <v>555</v>
      </c>
      <c r="C379">
        <v>20536619</v>
      </c>
      <c r="D379">
        <v>1.4626135294231501E+18</v>
      </c>
      <c r="E379" t="s">
        <v>276</v>
      </c>
      <c r="G379" t="s">
        <v>47</v>
      </c>
      <c r="H379">
        <v>42.662416179675603</v>
      </c>
      <c r="I379">
        <v>-73.788379609279403</v>
      </c>
      <c r="J379" t="s">
        <v>31</v>
      </c>
      <c r="K379">
        <v>78</v>
      </c>
      <c r="L379">
        <v>5</v>
      </c>
      <c r="M379">
        <v>1</v>
      </c>
      <c r="N379" s="1">
        <v>45963</v>
      </c>
      <c r="O379">
        <v>0.13</v>
      </c>
      <c r="P379">
        <v>13</v>
      </c>
      <c r="Q379">
        <v>114</v>
      </c>
      <c r="R379">
        <v>1</v>
      </c>
    </row>
    <row r="380" spans="1:18" x14ac:dyDescent="0.35">
      <c r="A380">
        <v>1.47350975194942E+18</v>
      </c>
      <c r="B380" t="s">
        <v>556</v>
      </c>
      <c r="C380">
        <v>20536619</v>
      </c>
      <c r="D380">
        <v>1.4626135294231501E+18</v>
      </c>
      <c r="E380" t="s">
        <v>276</v>
      </c>
      <c r="G380" t="s">
        <v>47</v>
      </c>
      <c r="H380">
        <v>42.663258144541601</v>
      </c>
      <c r="I380">
        <v>-73.789826695591401</v>
      </c>
      <c r="J380" t="s">
        <v>31</v>
      </c>
      <c r="K380">
        <v>83</v>
      </c>
      <c r="L380">
        <v>21</v>
      </c>
      <c r="M380">
        <v>2</v>
      </c>
      <c r="N380" s="1">
        <v>46069</v>
      </c>
      <c r="O380">
        <v>0.36</v>
      </c>
      <c r="P380">
        <v>13</v>
      </c>
      <c r="Q380">
        <v>36</v>
      </c>
      <c r="R380">
        <v>2</v>
      </c>
    </row>
    <row r="381" spans="1:18" x14ac:dyDescent="0.35">
      <c r="A381">
        <v>1.47608466553278E+18</v>
      </c>
      <c r="B381" t="s">
        <v>557</v>
      </c>
      <c r="C381">
        <v>20536619</v>
      </c>
      <c r="D381">
        <v>1.4626135294231501E+18</v>
      </c>
      <c r="E381" t="s">
        <v>276</v>
      </c>
      <c r="G381" t="s">
        <v>47</v>
      </c>
      <c r="H381">
        <v>42.662322934801701</v>
      </c>
      <c r="I381">
        <v>-73.787713910873705</v>
      </c>
      <c r="J381" t="s">
        <v>31</v>
      </c>
      <c r="K381">
        <v>43</v>
      </c>
      <c r="L381">
        <v>28</v>
      </c>
      <c r="M381">
        <v>2</v>
      </c>
      <c r="N381" s="1">
        <v>46065</v>
      </c>
      <c r="O381">
        <v>0.19</v>
      </c>
      <c r="P381">
        <v>13</v>
      </c>
      <c r="Q381">
        <v>102</v>
      </c>
      <c r="R381">
        <v>2</v>
      </c>
    </row>
    <row r="382" spans="1:18" x14ac:dyDescent="0.35">
      <c r="A382">
        <v>1.47678099828561E+18</v>
      </c>
      <c r="B382" t="s">
        <v>558</v>
      </c>
      <c r="C382">
        <v>710552538</v>
      </c>
      <c r="D382">
        <v>1.4767809992485601E+18</v>
      </c>
      <c r="E382" t="s">
        <v>559</v>
      </c>
      <c r="G382" t="s">
        <v>21</v>
      </c>
      <c r="H382">
        <v>42.6498098</v>
      </c>
      <c r="I382">
        <v>-73.753256499999907</v>
      </c>
      <c r="J382" t="s">
        <v>22</v>
      </c>
      <c r="K382">
        <v>120</v>
      </c>
      <c r="L382">
        <v>2</v>
      </c>
      <c r="M382">
        <v>11</v>
      </c>
      <c r="N382" s="1">
        <v>46082</v>
      </c>
      <c r="O382">
        <v>1.0900000000000001</v>
      </c>
      <c r="P382">
        <v>1</v>
      </c>
      <c r="Q382">
        <v>164</v>
      </c>
      <c r="R382">
        <v>11</v>
      </c>
    </row>
    <row r="383" spans="1:18" x14ac:dyDescent="0.35">
      <c r="A383">
        <v>1.4771114539302001E+18</v>
      </c>
      <c r="B383" t="s">
        <v>560</v>
      </c>
      <c r="C383">
        <v>10279606</v>
      </c>
      <c r="D383">
        <v>1.4628363033181E+18</v>
      </c>
      <c r="E383" t="s">
        <v>389</v>
      </c>
      <c r="G383" t="s">
        <v>51</v>
      </c>
      <c r="H383">
        <v>42.655470000000001</v>
      </c>
      <c r="I383">
        <v>-73.789490000000001</v>
      </c>
      <c r="J383" t="s">
        <v>22</v>
      </c>
      <c r="K383">
        <v>485</v>
      </c>
      <c r="L383">
        <v>1</v>
      </c>
      <c r="M383">
        <v>58</v>
      </c>
      <c r="N383" s="1">
        <v>46180</v>
      </c>
      <c r="O383">
        <v>5.94</v>
      </c>
      <c r="P383">
        <v>3</v>
      </c>
      <c r="Q383">
        <v>315</v>
      </c>
      <c r="R383">
        <v>58</v>
      </c>
    </row>
    <row r="384" spans="1:18" x14ac:dyDescent="0.35">
      <c r="A384">
        <v>1.4771159536099799E+18</v>
      </c>
      <c r="B384" t="s">
        <v>561</v>
      </c>
      <c r="C384">
        <v>130497392</v>
      </c>
      <c r="D384">
        <v>1.4683074810125299E+18</v>
      </c>
      <c r="E384" t="s">
        <v>526</v>
      </c>
      <c r="G384" t="s">
        <v>25</v>
      </c>
      <c r="H384">
        <v>42.6578736381448</v>
      </c>
      <c r="I384">
        <v>-73.765447675069495</v>
      </c>
      <c r="J384" t="s">
        <v>22</v>
      </c>
      <c r="L384">
        <v>3</v>
      </c>
      <c r="M384">
        <v>0</v>
      </c>
      <c r="P384">
        <v>2</v>
      </c>
      <c r="Q384">
        <v>361</v>
      </c>
      <c r="R384">
        <v>0</v>
      </c>
    </row>
    <row r="385" spans="1:18" x14ac:dyDescent="0.35">
      <c r="A385">
        <v>1.47746817227678E+18</v>
      </c>
      <c r="B385" t="s">
        <v>562</v>
      </c>
      <c r="C385">
        <v>20536619</v>
      </c>
      <c r="D385">
        <v>1.4626135294231501E+18</v>
      </c>
      <c r="E385" t="s">
        <v>276</v>
      </c>
      <c r="G385" t="s">
        <v>47</v>
      </c>
      <c r="H385">
        <v>42.663440000000001</v>
      </c>
      <c r="I385">
        <v>-73.787520000000001</v>
      </c>
      <c r="J385" t="s">
        <v>22</v>
      </c>
      <c r="K385">
        <v>160</v>
      </c>
      <c r="L385">
        <v>28</v>
      </c>
      <c r="M385">
        <v>0</v>
      </c>
      <c r="P385">
        <v>13</v>
      </c>
      <c r="Q385">
        <v>102</v>
      </c>
      <c r="R385">
        <v>0</v>
      </c>
    </row>
    <row r="386" spans="1:18" x14ac:dyDescent="0.35">
      <c r="A386">
        <v>1.4796966599544901E+18</v>
      </c>
      <c r="B386" t="s">
        <v>563</v>
      </c>
      <c r="C386">
        <v>19648678</v>
      </c>
      <c r="D386">
        <v>1.4630870240167099E+18</v>
      </c>
      <c r="E386" t="s">
        <v>24</v>
      </c>
      <c r="G386" t="s">
        <v>25</v>
      </c>
      <c r="H386">
        <v>42.652377899999998</v>
      </c>
      <c r="I386">
        <v>-73.7671603</v>
      </c>
      <c r="J386" t="s">
        <v>22</v>
      </c>
      <c r="K386">
        <v>160</v>
      </c>
      <c r="L386">
        <v>1</v>
      </c>
      <c r="M386">
        <v>36</v>
      </c>
      <c r="N386" s="1">
        <v>46180</v>
      </c>
      <c r="O386">
        <v>3.75</v>
      </c>
      <c r="P386">
        <v>7</v>
      </c>
      <c r="Q386">
        <v>345</v>
      </c>
      <c r="R386">
        <v>36</v>
      </c>
    </row>
    <row r="387" spans="1:18" x14ac:dyDescent="0.35">
      <c r="A387">
        <v>1.4818626548244401E+18</v>
      </c>
      <c r="B387" t="s">
        <v>564</v>
      </c>
      <c r="C387">
        <v>466790114</v>
      </c>
      <c r="D387">
        <v>1.46811396819747E+18</v>
      </c>
      <c r="E387" t="s">
        <v>504</v>
      </c>
      <c r="G387" t="s">
        <v>40</v>
      </c>
      <c r="H387">
        <v>42.678080000000001</v>
      </c>
      <c r="I387">
        <v>-73.782079999999993</v>
      </c>
      <c r="J387" t="s">
        <v>22</v>
      </c>
      <c r="K387">
        <v>88</v>
      </c>
      <c r="L387">
        <v>1</v>
      </c>
      <c r="M387">
        <v>5</v>
      </c>
      <c r="N387" s="1">
        <v>46143</v>
      </c>
      <c r="O387">
        <v>0.59</v>
      </c>
      <c r="P387">
        <v>29</v>
      </c>
      <c r="Q387">
        <v>363</v>
      </c>
      <c r="R387">
        <v>5</v>
      </c>
    </row>
    <row r="388" spans="1:18" x14ac:dyDescent="0.35">
      <c r="A388">
        <v>1.4818658634223401E+18</v>
      </c>
      <c r="B388" t="s">
        <v>565</v>
      </c>
      <c r="C388">
        <v>466790114</v>
      </c>
      <c r="D388">
        <v>1.46811396819747E+18</v>
      </c>
      <c r="E388" t="s">
        <v>504</v>
      </c>
      <c r="G388" t="s">
        <v>54</v>
      </c>
      <c r="H388">
        <v>42.675801777825001</v>
      </c>
      <c r="I388">
        <v>-73.7803687491121</v>
      </c>
      <c r="J388" t="s">
        <v>22</v>
      </c>
      <c r="K388">
        <v>83</v>
      </c>
      <c r="L388">
        <v>1</v>
      </c>
      <c r="M388">
        <v>2</v>
      </c>
      <c r="N388" s="1">
        <v>45949</v>
      </c>
      <c r="O388">
        <v>0.23</v>
      </c>
      <c r="P388">
        <v>29</v>
      </c>
      <c r="Q388">
        <v>359</v>
      </c>
      <c r="R388">
        <v>2</v>
      </c>
    </row>
    <row r="389" spans="1:18" x14ac:dyDescent="0.35">
      <c r="A389">
        <v>1.4818692728713001E+18</v>
      </c>
      <c r="B389" t="s">
        <v>566</v>
      </c>
      <c r="C389">
        <v>466790114</v>
      </c>
      <c r="D389">
        <v>1.46811396819747E+18</v>
      </c>
      <c r="E389" t="s">
        <v>504</v>
      </c>
      <c r="G389" t="s">
        <v>54</v>
      </c>
      <c r="H389">
        <v>42.67736</v>
      </c>
      <c r="I389">
        <v>-73.781080000000003</v>
      </c>
      <c r="J389" t="s">
        <v>22</v>
      </c>
      <c r="K389">
        <v>87</v>
      </c>
      <c r="L389">
        <v>1</v>
      </c>
      <c r="M389">
        <v>10</v>
      </c>
      <c r="N389" s="1">
        <v>46131</v>
      </c>
      <c r="O389">
        <v>0.99</v>
      </c>
      <c r="P389">
        <v>29</v>
      </c>
      <c r="Q389">
        <v>356</v>
      </c>
      <c r="R389">
        <v>10</v>
      </c>
    </row>
    <row r="390" spans="1:18" x14ac:dyDescent="0.35">
      <c r="A390">
        <v>1.4821992423773701E+18</v>
      </c>
      <c r="B390" t="s">
        <v>567</v>
      </c>
      <c r="C390">
        <v>466790114</v>
      </c>
      <c r="D390">
        <v>1.46811396819747E+18</v>
      </c>
      <c r="E390" t="s">
        <v>504</v>
      </c>
      <c r="G390" t="s">
        <v>40</v>
      </c>
      <c r="H390">
        <v>42.6809405014315</v>
      </c>
      <c r="I390">
        <v>-73.784610600044104</v>
      </c>
      <c r="J390" t="s">
        <v>22</v>
      </c>
      <c r="K390">
        <v>90</v>
      </c>
      <c r="L390">
        <v>1</v>
      </c>
      <c r="M390">
        <v>11</v>
      </c>
      <c r="N390" s="1">
        <v>46139</v>
      </c>
      <c r="O390">
        <v>1.0900000000000001</v>
      </c>
      <c r="P390">
        <v>29</v>
      </c>
      <c r="Q390">
        <v>357</v>
      </c>
      <c r="R390">
        <v>11</v>
      </c>
    </row>
    <row r="391" spans="1:18" x14ac:dyDescent="0.35">
      <c r="A391">
        <v>1.48572314996173E+18</v>
      </c>
      <c r="B391" t="s">
        <v>568</v>
      </c>
      <c r="C391">
        <v>466790114</v>
      </c>
      <c r="D391">
        <v>1.46811396819747E+18</v>
      </c>
      <c r="E391" t="s">
        <v>504</v>
      </c>
      <c r="G391" t="s">
        <v>40</v>
      </c>
      <c r="H391">
        <v>42.682049999999997</v>
      </c>
      <c r="I391">
        <v>-73.784599999999998</v>
      </c>
      <c r="J391" t="s">
        <v>22</v>
      </c>
      <c r="K391">
        <v>92</v>
      </c>
      <c r="L391">
        <v>1</v>
      </c>
      <c r="M391">
        <v>1</v>
      </c>
      <c r="N391" s="1">
        <v>46101</v>
      </c>
      <c r="O391">
        <v>0.34</v>
      </c>
      <c r="P391">
        <v>29</v>
      </c>
      <c r="Q391">
        <v>365</v>
      </c>
      <c r="R391">
        <v>1</v>
      </c>
    </row>
    <row r="392" spans="1:18" x14ac:dyDescent="0.35">
      <c r="A392">
        <v>1.4857265034101901E+18</v>
      </c>
      <c r="B392" t="s">
        <v>569</v>
      </c>
      <c r="C392">
        <v>466790114</v>
      </c>
      <c r="D392">
        <v>1.46811396819747E+18</v>
      </c>
      <c r="E392" t="s">
        <v>504</v>
      </c>
      <c r="G392" t="s">
        <v>40</v>
      </c>
      <c r="H392">
        <v>42.682110000000002</v>
      </c>
      <c r="I392">
        <v>-73.783060000000006</v>
      </c>
      <c r="J392" t="s">
        <v>22</v>
      </c>
      <c r="K392">
        <v>87</v>
      </c>
      <c r="L392">
        <v>1</v>
      </c>
      <c r="M392">
        <v>4</v>
      </c>
      <c r="N392" s="1">
        <v>46165</v>
      </c>
      <c r="O392">
        <v>0.41</v>
      </c>
      <c r="P392">
        <v>29</v>
      </c>
      <c r="Q392">
        <v>362</v>
      </c>
      <c r="R392">
        <v>4</v>
      </c>
    </row>
    <row r="393" spans="1:18" x14ac:dyDescent="0.35">
      <c r="A393">
        <v>1.49816126879405E+18</v>
      </c>
      <c r="B393" t="s">
        <v>570</v>
      </c>
      <c r="C393">
        <v>111760206</v>
      </c>
      <c r="D393">
        <v>1.49816126950465E+18</v>
      </c>
      <c r="E393" t="s">
        <v>90</v>
      </c>
      <c r="G393" t="s">
        <v>25</v>
      </c>
      <c r="H393">
        <v>42.65334</v>
      </c>
      <c r="I393">
        <v>-73.766050000000007</v>
      </c>
      <c r="J393" t="s">
        <v>22</v>
      </c>
      <c r="K393">
        <v>115</v>
      </c>
      <c r="L393">
        <v>1</v>
      </c>
      <c r="M393">
        <v>47</v>
      </c>
      <c r="N393" s="1">
        <v>46145</v>
      </c>
      <c r="O393">
        <v>5.2</v>
      </c>
      <c r="P393">
        <v>1</v>
      </c>
      <c r="Q393">
        <v>166</v>
      </c>
      <c r="R393">
        <v>47</v>
      </c>
    </row>
    <row r="394" spans="1:18" x14ac:dyDescent="0.35">
      <c r="A394">
        <v>1.4983898045890401E+18</v>
      </c>
      <c r="B394" t="s">
        <v>571</v>
      </c>
      <c r="C394">
        <v>478816393</v>
      </c>
      <c r="D394">
        <v>1.4983898055575401E+18</v>
      </c>
      <c r="E394" t="s">
        <v>572</v>
      </c>
      <c r="G394" t="s">
        <v>21</v>
      </c>
      <c r="H394">
        <v>42.656700000000001</v>
      </c>
      <c r="I394">
        <v>-73.75412</v>
      </c>
      <c r="J394" t="s">
        <v>22</v>
      </c>
      <c r="K394">
        <v>295</v>
      </c>
      <c r="L394">
        <v>1</v>
      </c>
      <c r="M394">
        <v>38</v>
      </c>
      <c r="N394" s="1">
        <v>46168</v>
      </c>
      <c r="O394">
        <v>6.26</v>
      </c>
      <c r="P394">
        <v>1</v>
      </c>
      <c r="Q394">
        <v>203</v>
      </c>
      <c r="R394">
        <v>38</v>
      </c>
    </row>
    <row r="395" spans="1:18" x14ac:dyDescent="0.35">
      <c r="A395">
        <v>1.4988842586573701E+18</v>
      </c>
      <c r="B395" t="s">
        <v>573</v>
      </c>
      <c r="C395">
        <v>534733076</v>
      </c>
      <c r="D395">
        <v>1.47039978918079E+18</v>
      </c>
      <c r="E395" t="s">
        <v>574</v>
      </c>
      <c r="G395" t="s">
        <v>25</v>
      </c>
      <c r="H395">
        <v>42.6532615125383</v>
      </c>
      <c r="I395">
        <v>-73.769809028404495</v>
      </c>
      <c r="J395" t="s">
        <v>31</v>
      </c>
      <c r="K395">
        <v>67</v>
      </c>
      <c r="L395">
        <v>2</v>
      </c>
      <c r="M395">
        <v>22</v>
      </c>
      <c r="N395" s="1">
        <v>46158</v>
      </c>
      <c r="O395">
        <v>2.29</v>
      </c>
      <c r="P395">
        <v>1</v>
      </c>
      <c r="Q395">
        <v>71</v>
      </c>
      <c r="R395">
        <v>22</v>
      </c>
    </row>
    <row r="396" spans="1:18" x14ac:dyDescent="0.35">
      <c r="A396">
        <v>1.4989136245525801E+18</v>
      </c>
      <c r="B396" t="s">
        <v>575</v>
      </c>
      <c r="C396">
        <v>188679144</v>
      </c>
      <c r="D396">
        <v>1.46897784365329E+18</v>
      </c>
      <c r="E396" t="s">
        <v>33</v>
      </c>
      <c r="G396" t="s">
        <v>25</v>
      </c>
      <c r="H396">
        <v>42.654789999999998</v>
      </c>
      <c r="I396">
        <v>-73.762739999999994</v>
      </c>
      <c r="J396" t="s">
        <v>22</v>
      </c>
      <c r="K396">
        <v>99</v>
      </c>
      <c r="L396">
        <v>30</v>
      </c>
      <c r="M396">
        <v>0</v>
      </c>
      <c r="P396">
        <v>11</v>
      </c>
      <c r="Q396">
        <v>365</v>
      </c>
      <c r="R396">
        <v>0</v>
      </c>
    </row>
    <row r="397" spans="1:18" x14ac:dyDescent="0.35">
      <c r="A397">
        <v>1.51028092441314E+18</v>
      </c>
      <c r="B397" t="s">
        <v>576</v>
      </c>
      <c r="C397">
        <v>79099670</v>
      </c>
      <c r="D397">
        <v>1.51028092508833E+18</v>
      </c>
      <c r="E397" t="s">
        <v>524</v>
      </c>
      <c r="G397" t="s">
        <v>64</v>
      </c>
      <c r="H397">
        <v>42.641660000000002</v>
      </c>
      <c r="I397">
        <v>-73.784239999999997</v>
      </c>
      <c r="J397" t="s">
        <v>31</v>
      </c>
      <c r="K397">
        <v>126</v>
      </c>
      <c r="L397">
        <v>1</v>
      </c>
      <c r="M397">
        <v>3</v>
      </c>
      <c r="N397" s="1">
        <v>46151</v>
      </c>
      <c r="O397">
        <v>0.33</v>
      </c>
      <c r="P397">
        <v>1</v>
      </c>
      <c r="Q397">
        <v>136</v>
      </c>
      <c r="R397">
        <v>3</v>
      </c>
    </row>
    <row r="398" spans="1:18" x14ac:dyDescent="0.35">
      <c r="A398">
        <v>1.51145343787811E+18</v>
      </c>
      <c r="B398" t="s">
        <v>577</v>
      </c>
      <c r="C398">
        <v>390089294</v>
      </c>
      <c r="D398">
        <v>1.4687227218232901E+18</v>
      </c>
      <c r="E398" t="s">
        <v>578</v>
      </c>
      <c r="G398" t="s">
        <v>25</v>
      </c>
      <c r="H398">
        <v>42.652940000000001</v>
      </c>
      <c r="I398">
        <v>-73.765110000000007</v>
      </c>
      <c r="J398" t="s">
        <v>22</v>
      </c>
      <c r="K398">
        <v>160</v>
      </c>
      <c r="L398">
        <v>1</v>
      </c>
      <c r="M398">
        <v>0</v>
      </c>
      <c r="P398">
        <v>6</v>
      </c>
      <c r="Q398">
        <v>359</v>
      </c>
      <c r="R398">
        <v>0</v>
      </c>
    </row>
    <row r="399" spans="1:18" x14ac:dyDescent="0.35">
      <c r="A399">
        <v>1.5114631155779999E+18</v>
      </c>
      <c r="B399" t="s">
        <v>579</v>
      </c>
      <c r="C399">
        <v>390089294</v>
      </c>
      <c r="D399">
        <v>1.4687227218232901E+18</v>
      </c>
      <c r="E399" t="s">
        <v>578</v>
      </c>
      <c r="G399" t="s">
        <v>91</v>
      </c>
      <c r="H399">
        <v>42.674106128151202</v>
      </c>
      <c r="I399">
        <v>-73.750677670169907</v>
      </c>
      <c r="J399" t="s">
        <v>22</v>
      </c>
      <c r="K399">
        <v>174</v>
      </c>
      <c r="L399">
        <v>2</v>
      </c>
      <c r="M399">
        <v>1</v>
      </c>
      <c r="N399" s="1">
        <v>46107</v>
      </c>
      <c r="O399">
        <v>0.36</v>
      </c>
      <c r="P399">
        <v>6</v>
      </c>
      <c r="Q399">
        <v>135</v>
      </c>
      <c r="R399">
        <v>1</v>
      </c>
    </row>
    <row r="400" spans="1:18" x14ac:dyDescent="0.35">
      <c r="A400">
        <v>1.51147574863424E+18</v>
      </c>
      <c r="B400" t="s">
        <v>580</v>
      </c>
      <c r="C400">
        <v>390089294</v>
      </c>
      <c r="D400">
        <v>1.4687227218232901E+18</v>
      </c>
      <c r="E400" t="s">
        <v>578</v>
      </c>
      <c r="G400" t="s">
        <v>25</v>
      </c>
      <c r="H400">
        <v>42.655619999999999</v>
      </c>
      <c r="I400">
        <v>-73.764449999999997</v>
      </c>
      <c r="J400" t="s">
        <v>22</v>
      </c>
      <c r="K400">
        <v>128</v>
      </c>
      <c r="L400">
        <v>2</v>
      </c>
      <c r="M400">
        <v>0</v>
      </c>
      <c r="P400">
        <v>6</v>
      </c>
      <c r="Q400">
        <v>358</v>
      </c>
      <c r="R400">
        <v>0</v>
      </c>
    </row>
    <row r="401" spans="1:18" x14ac:dyDescent="0.35">
      <c r="A401">
        <v>1.5115603192752599E+18</v>
      </c>
      <c r="B401" t="s">
        <v>581</v>
      </c>
      <c r="C401">
        <v>390089294</v>
      </c>
      <c r="D401">
        <v>1.4687227218232901E+18</v>
      </c>
      <c r="E401" t="s">
        <v>578</v>
      </c>
      <c r="G401" t="s">
        <v>25</v>
      </c>
      <c r="H401">
        <v>42.654260000000001</v>
      </c>
      <c r="I401">
        <v>-73.763080000000002</v>
      </c>
      <c r="J401" t="s">
        <v>22</v>
      </c>
      <c r="K401">
        <v>116</v>
      </c>
      <c r="L401">
        <v>2</v>
      </c>
      <c r="M401">
        <v>1</v>
      </c>
      <c r="N401" s="1">
        <v>46091</v>
      </c>
      <c r="O401">
        <v>0.3</v>
      </c>
      <c r="P401">
        <v>6</v>
      </c>
      <c r="Q401">
        <v>359</v>
      </c>
      <c r="R401">
        <v>1</v>
      </c>
    </row>
    <row r="402" spans="1:18" x14ac:dyDescent="0.35">
      <c r="A402">
        <v>1.51157369263664E+18</v>
      </c>
      <c r="B402" t="s">
        <v>582</v>
      </c>
      <c r="C402">
        <v>390089294</v>
      </c>
      <c r="D402">
        <v>1.4687227218232901E+18</v>
      </c>
      <c r="E402" t="s">
        <v>578</v>
      </c>
      <c r="G402" t="s">
        <v>25</v>
      </c>
      <c r="H402">
        <v>42.652279999999998</v>
      </c>
      <c r="I402">
        <v>-73.76491</v>
      </c>
      <c r="J402" t="s">
        <v>22</v>
      </c>
      <c r="K402">
        <v>137</v>
      </c>
      <c r="L402">
        <v>2</v>
      </c>
      <c r="M402">
        <v>0</v>
      </c>
      <c r="P402">
        <v>6</v>
      </c>
      <c r="Q402">
        <v>361</v>
      </c>
      <c r="R402">
        <v>0</v>
      </c>
    </row>
    <row r="403" spans="1:18" x14ac:dyDescent="0.35">
      <c r="A403">
        <v>1.51158252587938E+18</v>
      </c>
      <c r="B403" t="s">
        <v>583</v>
      </c>
      <c r="C403">
        <v>390089294</v>
      </c>
      <c r="D403">
        <v>1.4687227218232901E+18</v>
      </c>
      <c r="E403" t="s">
        <v>578</v>
      </c>
      <c r="G403" t="s">
        <v>25</v>
      </c>
      <c r="H403">
        <v>42.653030000000001</v>
      </c>
      <c r="I403">
        <v>-73.761009999999999</v>
      </c>
      <c r="J403" t="s">
        <v>22</v>
      </c>
      <c r="K403">
        <v>213</v>
      </c>
      <c r="L403">
        <v>2</v>
      </c>
      <c r="M403">
        <v>0</v>
      </c>
      <c r="P403">
        <v>6</v>
      </c>
      <c r="Q403">
        <v>358</v>
      </c>
      <c r="R403">
        <v>0</v>
      </c>
    </row>
    <row r="404" spans="1:18" x14ac:dyDescent="0.35">
      <c r="A404">
        <v>1.51894323525758E+18</v>
      </c>
      <c r="B404" t="s">
        <v>584</v>
      </c>
      <c r="C404">
        <v>188679144</v>
      </c>
      <c r="D404">
        <v>1.46897784365329E+18</v>
      </c>
      <c r="E404" t="s">
        <v>33</v>
      </c>
      <c r="G404" t="s">
        <v>51</v>
      </c>
      <c r="H404">
        <v>42.655270000000002</v>
      </c>
      <c r="I404">
        <v>-73.785849999999996</v>
      </c>
      <c r="J404" t="s">
        <v>22</v>
      </c>
      <c r="K404">
        <v>193</v>
      </c>
      <c r="L404">
        <v>7</v>
      </c>
      <c r="M404">
        <v>1</v>
      </c>
      <c r="N404" s="1">
        <v>46010</v>
      </c>
      <c r="O404">
        <v>0.17</v>
      </c>
      <c r="P404">
        <v>11</v>
      </c>
      <c r="Q404">
        <v>339</v>
      </c>
      <c r="R404">
        <v>1</v>
      </c>
    </row>
    <row r="405" spans="1:18" x14ac:dyDescent="0.35">
      <c r="A405">
        <v>1.51972689646285E+18</v>
      </c>
      <c r="B405" t="s">
        <v>585</v>
      </c>
      <c r="C405">
        <v>488778056</v>
      </c>
      <c r="D405">
        <v>1.5197268971235799E+18</v>
      </c>
      <c r="E405" t="s">
        <v>586</v>
      </c>
      <c r="G405" t="s">
        <v>47</v>
      </c>
      <c r="H405">
        <v>42.658410000000003</v>
      </c>
      <c r="I405">
        <v>-73.783209999999997</v>
      </c>
      <c r="J405" t="s">
        <v>22</v>
      </c>
      <c r="K405">
        <v>465</v>
      </c>
      <c r="L405">
        <v>1</v>
      </c>
      <c r="M405">
        <v>32</v>
      </c>
      <c r="N405" s="1">
        <v>46188</v>
      </c>
      <c r="O405">
        <v>6.19</v>
      </c>
      <c r="P405">
        <v>1</v>
      </c>
      <c r="Q405">
        <v>320</v>
      </c>
      <c r="R405">
        <v>32</v>
      </c>
    </row>
    <row r="406" spans="1:18" x14ac:dyDescent="0.35">
      <c r="A406">
        <v>1.52106483909313E+18</v>
      </c>
      <c r="B406" t="s">
        <v>587</v>
      </c>
      <c r="C406">
        <v>466790114</v>
      </c>
      <c r="D406">
        <v>1.46811396819747E+18</v>
      </c>
      <c r="E406" t="s">
        <v>504</v>
      </c>
      <c r="G406" t="s">
        <v>40</v>
      </c>
      <c r="H406">
        <v>42.681699999999999</v>
      </c>
      <c r="I406">
        <v>-73.784390000000002</v>
      </c>
      <c r="J406" t="s">
        <v>22</v>
      </c>
      <c r="K406">
        <v>102</v>
      </c>
      <c r="L406">
        <v>1</v>
      </c>
      <c r="M406">
        <v>5</v>
      </c>
      <c r="N406" s="1">
        <v>46137</v>
      </c>
      <c r="O406">
        <v>0.6</v>
      </c>
      <c r="P406">
        <v>29</v>
      </c>
      <c r="Q406">
        <v>365</v>
      </c>
      <c r="R406">
        <v>5</v>
      </c>
    </row>
    <row r="407" spans="1:18" x14ac:dyDescent="0.35">
      <c r="A407">
        <v>1.522036487464E+18</v>
      </c>
      <c r="B407" t="s">
        <v>588</v>
      </c>
      <c r="C407">
        <v>37769478</v>
      </c>
      <c r="D407">
        <v>1.4655652968529201E+18</v>
      </c>
      <c r="E407" t="s">
        <v>182</v>
      </c>
      <c r="G407" t="s">
        <v>25</v>
      </c>
      <c r="H407">
        <v>42.653930000000003</v>
      </c>
      <c r="I407">
        <v>-73.769300000000001</v>
      </c>
      <c r="J407" t="s">
        <v>22</v>
      </c>
      <c r="K407">
        <v>143</v>
      </c>
      <c r="L407">
        <v>1</v>
      </c>
      <c r="M407">
        <v>13</v>
      </c>
      <c r="N407" s="1">
        <v>46166</v>
      </c>
      <c r="O407">
        <v>1.78</v>
      </c>
      <c r="P407">
        <v>16</v>
      </c>
      <c r="Q407">
        <v>329</v>
      </c>
      <c r="R407">
        <v>13</v>
      </c>
    </row>
    <row r="408" spans="1:18" x14ac:dyDescent="0.35">
      <c r="A408">
        <v>1.5236402239053299E+18</v>
      </c>
      <c r="B408" t="s">
        <v>589</v>
      </c>
      <c r="C408">
        <v>706406610</v>
      </c>
      <c r="D408">
        <v>1.5236402245739E+18</v>
      </c>
      <c r="E408" t="s">
        <v>590</v>
      </c>
      <c r="G408" t="s">
        <v>25</v>
      </c>
      <c r="H408">
        <v>42.653233540771701</v>
      </c>
      <c r="I408">
        <v>-73.767179511487399</v>
      </c>
      <c r="J408" t="s">
        <v>22</v>
      </c>
      <c r="K408">
        <v>234</v>
      </c>
      <c r="L408">
        <v>1</v>
      </c>
      <c r="M408">
        <v>3</v>
      </c>
      <c r="N408" s="1">
        <v>46125</v>
      </c>
      <c r="O408">
        <v>0.38</v>
      </c>
      <c r="P408">
        <v>2</v>
      </c>
      <c r="Q408">
        <v>330</v>
      </c>
      <c r="R408">
        <v>3</v>
      </c>
    </row>
    <row r="409" spans="1:18" x14ac:dyDescent="0.35">
      <c r="A409">
        <v>1.5263117499208E+18</v>
      </c>
      <c r="B409" t="s">
        <v>591</v>
      </c>
      <c r="C409">
        <v>478607033</v>
      </c>
      <c r="D409">
        <v>1.5262156128495201E+18</v>
      </c>
      <c r="E409" t="s">
        <v>592</v>
      </c>
      <c r="G409" t="s">
        <v>51</v>
      </c>
      <c r="H409">
        <v>42.655391994210497</v>
      </c>
      <c r="I409">
        <v>-73.792231617409996</v>
      </c>
      <c r="J409" t="s">
        <v>31</v>
      </c>
      <c r="K409">
        <v>106</v>
      </c>
      <c r="L409">
        <v>1</v>
      </c>
      <c r="M409">
        <v>0</v>
      </c>
      <c r="P409">
        <v>2</v>
      </c>
      <c r="Q409">
        <v>125</v>
      </c>
      <c r="R409">
        <v>0</v>
      </c>
    </row>
    <row r="410" spans="1:18" x14ac:dyDescent="0.35">
      <c r="A410">
        <v>1.52828126465262E+18</v>
      </c>
      <c r="B410" t="s">
        <v>593</v>
      </c>
      <c r="C410">
        <v>37769478</v>
      </c>
      <c r="D410">
        <v>1.4655652968529201E+18</v>
      </c>
      <c r="E410" t="s">
        <v>182</v>
      </c>
      <c r="G410" t="s">
        <v>25</v>
      </c>
      <c r="H410">
        <v>42.654200000000003</v>
      </c>
      <c r="I410">
        <v>-73.771280000000004</v>
      </c>
      <c r="J410" t="s">
        <v>22</v>
      </c>
      <c r="K410">
        <v>210</v>
      </c>
      <c r="L410">
        <v>1</v>
      </c>
      <c r="M410">
        <v>27</v>
      </c>
      <c r="N410" s="1">
        <v>46174</v>
      </c>
      <c r="O410">
        <v>3.25</v>
      </c>
      <c r="P410">
        <v>16</v>
      </c>
      <c r="Q410">
        <v>324</v>
      </c>
      <c r="R410">
        <v>27</v>
      </c>
    </row>
    <row r="411" spans="1:18" x14ac:dyDescent="0.35">
      <c r="A411">
        <v>1.5283306246847099E+18</v>
      </c>
      <c r="B411" t="s">
        <v>594</v>
      </c>
      <c r="C411">
        <v>15064470</v>
      </c>
      <c r="D411">
        <v>1.4629533438970501E+18</v>
      </c>
      <c r="E411" t="s">
        <v>595</v>
      </c>
      <c r="G411" t="s">
        <v>84</v>
      </c>
      <c r="H411">
        <v>42.642732215973801</v>
      </c>
      <c r="I411">
        <v>-73.792087736185096</v>
      </c>
      <c r="J411" t="s">
        <v>22</v>
      </c>
      <c r="K411">
        <v>185</v>
      </c>
      <c r="L411">
        <v>1</v>
      </c>
      <c r="M411">
        <v>53</v>
      </c>
      <c r="N411" s="1">
        <v>46175</v>
      </c>
      <c r="O411">
        <v>6.6</v>
      </c>
      <c r="P411">
        <v>1</v>
      </c>
      <c r="Q411">
        <v>282</v>
      </c>
      <c r="R411">
        <v>53</v>
      </c>
    </row>
    <row r="412" spans="1:18" x14ac:dyDescent="0.35">
      <c r="A412">
        <v>1.53328909550351E+18</v>
      </c>
      <c r="B412" t="s">
        <v>596</v>
      </c>
      <c r="C412">
        <v>340511465</v>
      </c>
      <c r="D412">
        <v>1.53328909623117E+18</v>
      </c>
      <c r="E412" t="s">
        <v>597</v>
      </c>
      <c r="G412" t="s">
        <v>51</v>
      </c>
      <c r="H412">
        <v>42.647239999999996</v>
      </c>
      <c r="I412">
        <v>-73.791259999999994</v>
      </c>
      <c r="J412" t="s">
        <v>31</v>
      </c>
      <c r="K412">
        <v>109</v>
      </c>
      <c r="L412">
        <v>1</v>
      </c>
      <c r="M412">
        <v>12</v>
      </c>
      <c r="N412" s="1">
        <v>46187</v>
      </c>
      <c r="O412">
        <v>1.49</v>
      </c>
      <c r="P412">
        <v>1</v>
      </c>
      <c r="Q412">
        <v>323</v>
      </c>
      <c r="R412">
        <v>12</v>
      </c>
    </row>
    <row r="413" spans="1:18" x14ac:dyDescent="0.35">
      <c r="A413">
        <v>1.5362475312742999E+18</v>
      </c>
      <c r="B413" t="s">
        <v>598</v>
      </c>
      <c r="C413">
        <v>478607033</v>
      </c>
      <c r="D413">
        <v>1.5262156128495201E+18</v>
      </c>
      <c r="E413" t="s">
        <v>592</v>
      </c>
      <c r="G413" t="s">
        <v>51</v>
      </c>
      <c r="H413">
        <v>42.656019999999998</v>
      </c>
      <c r="I413">
        <v>-73.790930000000003</v>
      </c>
      <c r="J413" t="s">
        <v>31</v>
      </c>
      <c r="K413">
        <v>89</v>
      </c>
      <c r="L413">
        <v>1</v>
      </c>
      <c r="M413">
        <v>1</v>
      </c>
      <c r="N413" s="1">
        <v>46159</v>
      </c>
      <c r="O413">
        <v>1</v>
      </c>
      <c r="P413">
        <v>2</v>
      </c>
      <c r="Q413">
        <v>313</v>
      </c>
      <c r="R413">
        <v>1</v>
      </c>
    </row>
    <row r="414" spans="1:18" x14ac:dyDescent="0.35">
      <c r="A414">
        <v>1.5362785463960901E+18</v>
      </c>
      <c r="B414" t="s">
        <v>599</v>
      </c>
      <c r="C414">
        <v>466790114</v>
      </c>
      <c r="D414">
        <v>1.46811396819747E+18</v>
      </c>
      <c r="E414" t="s">
        <v>504</v>
      </c>
      <c r="G414" t="s">
        <v>40</v>
      </c>
      <c r="H414">
        <v>42.68018</v>
      </c>
      <c r="I414">
        <v>-73.783749999999998</v>
      </c>
      <c r="J414" t="s">
        <v>22</v>
      </c>
      <c r="K414">
        <v>115</v>
      </c>
      <c r="L414">
        <v>1</v>
      </c>
      <c r="M414">
        <v>12</v>
      </c>
      <c r="N414" s="1">
        <v>46166</v>
      </c>
      <c r="O414">
        <v>1.65</v>
      </c>
      <c r="P414">
        <v>29</v>
      </c>
      <c r="Q414">
        <v>351</v>
      </c>
      <c r="R414">
        <v>12</v>
      </c>
    </row>
    <row r="415" spans="1:18" x14ac:dyDescent="0.35">
      <c r="A415">
        <v>1.53628474877822E+18</v>
      </c>
      <c r="B415" t="s">
        <v>600</v>
      </c>
      <c r="C415">
        <v>466790114</v>
      </c>
      <c r="D415">
        <v>1.46811396819747E+18</v>
      </c>
      <c r="E415" t="s">
        <v>504</v>
      </c>
      <c r="G415" t="s">
        <v>40</v>
      </c>
      <c r="H415">
        <v>42.680059999999997</v>
      </c>
      <c r="I415">
        <v>-73.784649999999999</v>
      </c>
      <c r="J415" t="s">
        <v>22</v>
      </c>
      <c r="K415">
        <v>105</v>
      </c>
      <c r="L415">
        <v>1</v>
      </c>
      <c r="M415">
        <v>3</v>
      </c>
      <c r="N415" s="1">
        <v>46082</v>
      </c>
      <c r="O415">
        <v>0.43</v>
      </c>
      <c r="P415">
        <v>29</v>
      </c>
      <c r="Q415">
        <v>354</v>
      </c>
      <c r="R415">
        <v>3</v>
      </c>
    </row>
    <row r="416" spans="1:18" x14ac:dyDescent="0.35">
      <c r="A416">
        <v>1.5373172741290601E+18</v>
      </c>
      <c r="B416" t="s">
        <v>601</v>
      </c>
      <c r="C416">
        <v>455342215</v>
      </c>
      <c r="D416">
        <v>1.46374397950254E+18</v>
      </c>
      <c r="E416" t="s">
        <v>602</v>
      </c>
      <c r="G416" t="s">
        <v>117</v>
      </c>
      <c r="H416">
        <v>42.636220000000002</v>
      </c>
      <c r="I416">
        <v>-73.761520000000004</v>
      </c>
      <c r="J416" t="s">
        <v>22</v>
      </c>
      <c r="K416">
        <v>82</v>
      </c>
      <c r="L416">
        <v>1</v>
      </c>
      <c r="M416">
        <v>0</v>
      </c>
      <c r="P416">
        <v>1</v>
      </c>
      <c r="Q416">
        <v>351</v>
      </c>
      <c r="R416">
        <v>0</v>
      </c>
    </row>
    <row r="417" spans="1:18" x14ac:dyDescent="0.35">
      <c r="A417">
        <v>1.5392572313186801E+18</v>
      </c>
      <c r="B417" t="s">
        <v>603</v>
      </c>
      <c r="C417">
        <v>476189412</v>
      </c>
      <c r="D417">
        <v>1.47014647691263E+18</v>
      </c>
      <c r="E417" t="s">
        <v>213</v>
      </c>
      <c r="G417" t="s">
        <v>28</v>
      </c>
      <c r="H417">
        <v>42.646854310722702</v>
      </c>
      <c r="I417">
        <v>-73.758722506463499</v>
      </c>
      <c r="J417" t="s">
        <v>22</v>
      </c>
      <c r="K417">
        <v>539</v>
      </c>
      <c r="L417">
        <v>2</v>
      </c>
      <c r="M417">
        <v>17</v>
      </c>
      <c r="N417" s="1">
        <v>46166</v>
      </c>
      <c r="O417">
        <v>3.04</v>
      </c>
      <c r="P417">
        <v>3</v>
      </c>
      <c r="Q417">
        <v>90</v>
      </c>
      <c r="R417">
        <v>17</v>
      </c>
    </row>
    <row r="418" spans="1:18" x14ac:dyDescent="0.35">
      <c r="A418">
        <v>1.5435215051930801E+18</v>
      </c>
      <c r="B418" t="s">
        <v>604</v>
      </c>
      <c r="C418">
        <v>107206246</v>
      </c>
      <c r="D418">
        <v>1.4672993848725901E+18</v>
      </c>
      <c r="E418" t="s">
        <v>605</v>
      </c>
      <c r="G418" t="s">
        <v>34</v>
      </c>
      <c r="H418">
        <v>42.658832699999998</v>
      </c>
      <c r="I418">
        <v>-73.801621699999998</v>
      </c>
      <c r="J418" t="s">
        <v>22</v>
      </c>
      <c r="K418">
        <v>253</v>
      </c>
      <c r="L418">
        <v>1</v>
      </c>
      <c r="M418">
        <v>13</v>
      </c>
      <c r="N418" s="1">
        <v>46182</v>
      </c>
      <c r="O418">
        <v>3.94</v>
      </c>
      <c r="P418">
        <v>2</v>
      </c>
      <c r="Q418">
        <v>349</v>
      </c>
      <c r="R418">
        <v>13</v>
      </c>
    </row>
    <row r="419" spans="1:18" x14ac:dyDescent="0.35">
      <c r="A419">
        <v>1.54356350614957E+18</v>
      </c>
      <c r="B419" t="s">
        <v>606</v>
      </c>
      <c r="C419">
        <v>349460842</v>
      </c>
      <c r="D419">
        <v>1.4696952540817001E+18</v>
      </c>
      <c r="E419" t="s">
        <v>122</v>
      </c>
      <c r="G419" t="s">
        <v>47</v>
      </c>
      <c r="H419">
        <v>42.661825700000001</v>
      </c>
      <c r="I419">
        <v>-73.7869405</v>
      </c>
      <c r="J419" t="s">
        <v>31</v>
      </c>
      <c r="K419">
        <v>72</v>
      </c>
      <c r="L419">
        <v>28</v>
      </c>
      <c r="M419">
        <v>1</v>
      </c>
      <c r="N419" s="1">
        <v>46154</v>
      </c>
      <c r="O419">
        <v>0.83</v>
      </c>
      <c r="P419">
        <v>21</v>
      </c>
      <c r="Q419">
        <v>312</v>
      </c>
      <c r="R419">
        <v>1</v>
      </c>
    </row>
    <row r="420" spans="1:18" x14ac:dyDescent="0.35">
      <c r="A420">
        <v>1.5517483385333299E+18</v>
      </c>
      <c r="B420" t="s">
        <v>607</v>
      </c>
      <c r="C420">
        <v>19648678</v>
      </c>
      <c r="D420">
        <v>1.4630870240167099E+18</v>
      </c>
      <c r="E420" t="s">
        <v>24</v>
      </c>
      <c r="G420" t="s">
        <v>25</v>
      </c>
      <c r="H420">
        <v>42.653638559002999</v>
      </c>
      <c r="I420">
        <v>-73.766035156274995</v>
      </c>
      <c r="J420" t="s">
        <v>22</v>
      </c>
      <c r="K420">
        <v>119</v>
      </c>
      <c r="L420">
        <v>1</v>
      </c>
      <c r="M420">
        <v>19</v>
      </c>
      <c r="N420" s="1">
        <v>46184</v>
      </c>
      <c r="O420">
        <v>3.73</v>
      </c>
      <c r="P420">
        <v>7</v>
      </c>
      <c r="Q420">
        <v>341</v>
      </c>
      <c r="R420">
        <v>19</v>
      </c>
    </row>
    <row r="421" spans="1:18" x14ac:dyDescent="0.35">
      <c r="A421">
        <v>1.55226263971231E+18</v>
      </c>
      <c r="B421" t="s">
        <v>608</v>
      </c>
      <c r="C421">
        <v>349460842</v>
      </c>
      <c r="D421">
        <v>1.4696952540817001E+18</v>
      </c>
      <c r="E421" t="s">
        <v>122</v>
      </c>
      <c r="G421" t="s">
        <v>47</v>
      </c>
      <c r="H421">
        <v>42.662719138095298</v>
      </c>
      <c r="I421">
        <v>-73.787792381253894</v>
      </c>
      <c r="J421" t="s">
        <v>31</v>
      </c>
      <c r="K421">
        <v>72</v>
      </c>
      <c r="L421">
        <v>28</v>
      </c>
      <c r="M421">
        <v>0</v>
      </c>
      <c r="P421">
        <v>21</v>
      </c>
      <c r="Q421">
        <v>320</v>
      </c>
      <c r="R421">
        <v>0</v>
      </c>
    </row>
    <row r="422" spans="1:18" x14ac:dyDescent="0.35">
      <c r="A422">
        <v>1.5544058571868101E+18</v>
      </c>
      <c r="B422" t="s">
        <v>609</v>
      </c>
      <c r="C422">
        <v>147780154</v>
      </c>
      <c r="D422">
        <v>1.4684485533865001E+18</v>
      </c>
      <c r="E422" t="s">
        <v>610</v>
      </c>
      <c r="G422" t="s">
        <v>84</v>
      </c>
      <c r="H422">
        <v>42.656694242713499</v>
      </c>
      <c r="I422">
        <v>-73.819017543493601</v>
      </c>
      <c r="J422" t="s">
        <v>22</v>
      </c>
      <c r="L422">
        <v>3</v>
      </c>
      <c r="M422">
        <v>0</v>
      </c>
      <c r="P422">
        <v>1</v>
      </c>
      <c r="Q422">
        <v>358</v>
      </c>
      <c r="R422">
        <v>0</v>
      </c>
    </row>
    <row r="423" spans="1:18" x14ac:dyDescent="0.35">
      <c r="A423">
        <v>1.55730932206221E+18</v>
      </c>
      <c r="B423" t="s">
        <v>611</v>
      </c>
      <c r="C423">
        <v>466790114</v>
      </c>
      <c r="D423">
        <v>1.46811396819747E+18</v>
      </c>
      <c r="E423" t="s">
        <v>504</v>
      </c>
      <c r="G423" t="s">
        <v>40</v>
      </c>
      <c r="H423">
        <v>42.679969999999997</v>
      </c>
      <c r="I423">
        <v>-73.783869999999993</v>
      </c>
      <c r="J423" t="s">
        <v>22</v>
      </c>
      <c r="K423">
        <v>95</v>
      </c>
      <c r="L423">
        <v>1</v>
      </c>
      <c r="M423">
        <v>4</v>
      </c>
      <c r="N423" s="1">
        <v>46159</v>
      </c>
      <c r="O423">
        <v>0.57999999999999996</v>
      </c>
      <c r="P423">
        <v>29</v>
      </c>
      <c r="Q423">
        <v>365</v>
      </c>
      <c r="R423">
        <v>4</v>
      </c>
    </row>
    <row r="424" spans="1:18" x14ac:dyDescent="0.35">
      <c r="A424">
        <v>1.55741843702383E+18</v>
      </c>
      <c r="B424" t="s">
        <v>612</v>
      </c>
      <c r="C424">
        <v>302714563</v>
      </c>
      <c r="D424">
        <v>1.5574184377394501E+18</v>
      </c>
      <c r="E424" t="s">
        <v>613</v>
      </c>
      <c r="G424" t="s">
        <v>25</v>
      </c>
      <c r="H424">
        <v>42.650826799999997</v>
      </c>
      <c r="I424">
        <v>-73.766840199999905</v>
      </c>
      <c r="J424" t="s">
        <v>22</v>
      </c>
      <c r="K424">
        <v>177</v>
      </c>
      <c r="L424">
        <v>1</v>
      </c>
      <c r="M424">
        <v>3</v>
      </c>
      <c r="N424" s="1">
        <v>46016</v>
      </c>
      <c r="O424">
        <v>0.44</v>
      </c>
      <c r="P424">
        <v>1</v>
      </c>
      <c r="Q424">
        <v>46</v>
      </c>
      <c r="R424">
        <v>3</v>
      </c>
    </row>
    <row r="425" spans="1:18" x14ac:dyDescent="0.35">
      <c r="A425">
        <v>1.5582125732141901E+18</v>
      </c>
      <c r="B425" t="s">
        <v>614</v>
      </c>
      <c r="C425">
        <v>188679144</v>
      </c>
      <c r="D425">
        <v>1.46897784365329E+18</v>
      </c>
      <c r="E425" t="s">
        <v>33</v>
      </c>
      <c r="G425" t="s">
        <v>51</v>
      </c>
      <c r="H425">
        <v>42.656440000000003</v>
      </c>
      <c r="I425">
        <v>-73.78689</v>
      </c>
      <c r="J425" t="s">
        <v>22</v>
      </c>
      <c r="K425">
        <v>159</v>
      </c>
      <c r="L425">
        <v>14</v>
      </c>
      <c r="M425">
        <v>1</v>
      </c>
      <c r="N425" s="1">
        <v>46122</v>
      </c>
      <c r="O425">
        <v>0.44</v>
      </c>
      <c r="P425">
        <v>11</v>
      </c>
      <c r="Q425">
        <v>357</v>
      </c>
      <c r="R425">
        <v>1</v>
      </c>
    </row>
    <row r="426" spans="1:18" x14ac:dyDescent="0.35">
      <c r="A426">
        <v>1.5662327436306401E+18</v>
      </c>
      <c r="B426" t="s">
        <v>615</v>
      </c>
      <c r="C426">
        <v>706406610</v>
      </c>
      <c r="D426">
        <v>1.5236402245739E+18</v>
      </c>
      <c r="E426" t="s">
        <v>590</v>
      </c>
      <c r="G426" t="s">
        <v>25</v>
      </c>
      <c r="H426">
        <v>42.653880296695696</v>
      </c>
      <c r="I426">
        <v>-73.767976498557104</v>
      </c>
      <c r="J426" t="s">
        <v>22</v>
      </c>
      <c r="K426">
        <v>149</v>
      </c>
      <c r="L426">
        <v>2</v>
      </c>
      <c r="M426">
        <v>4</v>
      </c>
      <c r="N426" s="1">
        <v>46079</v>
      </c>
      <c r="O426">
        <v>0.86</v>
      </c>
      <c r="P426">
        <v>2</v>
      </c>
      <c r="Q426">
        <v>288</v>
      </c>
      <c r="R426">
        <v>4</v>
      </c>
    </row>
    <row r="427" spans="1:18" x14ac:dyDescent="0.35">
      <c r="A427">
        <v>1.5667074231876401E+18</v>
      </c>
      <c r="B427" t="s">
        <v>616</v>
      </c>
      <c r="C427">
        <v>466790114</v>
      </c>
      <c r="D427">
        <v>1.46811396819747E+18</v>
      </c>
      <c r="E427" t="s">
        <v>504</v>
      </c>
      <c r="G427" t="s">
        <v>40</v>
      </c>
      <c r="H427">
        <v>42.681370000000001</v>
      </c>
      <c r="I427">
        <v>-73.785129999999995</v>
      </c>
      <c r="J427" t="s">
        <v>22</v>
      </c>
      <c r="K427">
        <v>85</v>
      </c>
      <c r="L427">
        <v>1</v>
      </c>
      <c r="M427">
        <v>14</v>
      </c>
      <c r="N427" s="1">
        <v>46174</v>
      </c>
      <c r="O427">
        <v>2.88</v>
      </c>
      <c r="P427">
        <v>29</v>
      </c>
      <c r="Q427">
        <v>362</v>
      </c>
      <c r="R427">
        <v>14</v>
      </c>
    </row>
    <row r="428" spans="1:18" x14ac:dyDescent="0.35">
      <c r="A428">
        <v>1.5675829343693E+18</v>
      </c>
      <c r="B428" t="s">
        <v>617</v>
      </c>
      <c r="C428">
        <v>233515764</v>
      </c>
      <c r="D428">
        <v>1.46924386914754E+18</v>
      </c>
      <c r="E428" t="s">
        <v>359</v>
      </c>
      <c r="G428" t="s">
        <v>25</v>
      </c>
      <c r="H428">
        <v>42.651955805017202</v>
      </c>
      <c r="I428">
        <v>-73.766967316906005</v>
      </c>
      <c r="J428" t="s">
        <v>22</v>
      </c>
      <c r="K428">
        <v>126</v>
      </c>
      <c r="L428">
        <v>1</v>
      </c>
      <c r="M428">
        <v>1</v>
      </c>
      <c r="N428" s="1">
        <v>46166</v>
      </c>
      <c r="O428">
        <v>1</v>
      </c>
      <c r="P428">
        <v>8</v>
      </c>
      <c r="Q428">
        <v>26</v>
      </c>
      <c r="R428">
        <v>1</v>
      </c>
    </row>
    <row r="429" spans="1:18" x14ac:dyDescent="0.35">
      <c r="A429">
        <v>1.56836831380274E+18</v>
      </c>
      <c r="B429" t="s">
        <v>618</v>
      </c>
      <c r="C429">
        <v>413566290</v>
      </c>
      <c r="D429">
        <v>1.4698835712345999E+18</v>
      </c>
      <c r="E429" t="s">
        <v>430</v>
      </c>
      <c r="G429" t="s">
        <v>51</v>
      </c>
      <c r="H429">
        <v>42.655240209912002</v>
      </c>
      <c r="I429">
        <v>-73.798110745847197</v>
      </c>
      <c r="J429" t="s">
        <v>31</v>
      </c>
      <c r="K429">
        <v>77</v>
      </c>
      <c r="L429">
        <v>1</v>
      </c>
      <c r="M429">
        <v>3</v>
      </c>
      <c r="N429" s="1">
        <v>46069</v>
      </c>
      <c r="O429">
        <v>0.49</v>
      </c>
      <c r="P429">
        <v>3</v>
      </c>
      <c r="Q429">
        <v>67</v>
      </c>
      <c r="R429">
        <v>3</v>
      </c>
    </row>
    <row r="430" spans="1:18" x14ac:dyDescent="0.35">
      <c r="A430">
        <v>1.56979764732077E+18</v>
      </c>
      <c r="B430" t="s">
        <v>619</v>
      </c>
      <c r="C430">
        <v>263502162</v>
      </c>
      <c r="D430">
        <v>1.4633333076621701E+18</v>
      </c>
      <c r="E430" t="s">
        <v>620</v>
      </c>
      <c r="G430" t="s">
        <v>51</v>
      </c>
      <c r="H430">
        <v>42.653089999999999</v>
      </c>
      <c r="I430">
        <v>-73.774270000000001</v>
      </c>
      <c r="J430" t="s">
        <v>22</v>
      </c>
      <c r="L430">
        <v>30</v>
      </c>
      <c r="M430">
        <v>2</v>
      </c>
      <c r="N430" s="1">
        <v>46041</v>
      </c>
      <c r="O430">
        <v>0.4</v>
      </c>
      <c r="P430">
        <v>2</v>
      </c>
      <c r="Q430">
        <v>349</v>
      </c>
      <c r="R430">
        <v>2</v>
      </c>
    </row>
    <row r="431" spans="1:18" x14ac:dyDescent="0.35">
      <c r="A431">
        <v>1.5697976568690099E+18</v>
      </c>
      <c r="B431" t="s">
        <v>621</v>
      </c>
      <c r="C431">
        <v>263502162</v>
      </c>
      <c r="D431">
        <v>1.4633333076621701E+18</v>
      </c>
      <c r="E431" t="s">
        <v>620</v>
      </c>
      <c r="G431" t="s">
        <v>25</v>
      </c>
      <c r="H431">
        <v>42.654448842562502</v>
      </c>
      <c r="I431">
        <v>-73.774604352581306</v>
      </c>
      <c r="J431" t="s">
        <v>22</v>
      </c>
      <c r="L431">
        <v>30</v>
      </c>
      <c r="M431">
        <v>2</v>
      </c>
      <c r="N431" s="1">
        <v>46147</v>
      </c>
      <c r="O431">
        <v>0.42</v>
      </c>
      <c r="P431">
        <v>2</v>
      </c>
      <c r="Q431">
        <v>347</v>
      </c>
      <c r="R431">
        <v>2</v>
      </c>
    </row>
    <row r="432" spans="1:18" x14ac:dyDescent="0.35">
      <c r="A432">
        <v>1.5747268625311099E+18</v>
      </c>
      <c r="B432" t="s">
        <v>622</v>
      </c>
      <c r="C432">
        <v>413566290</v>
      </c>
      <c r="D432">
        <v>1.4698835712345999E+18</v>
      </c>
      <c r="E432" t="s">
        <v>430</v>
      </c>
      <c r="G432" t="s">
        <v>51</v>
      </c>
      <c r="H432">
        <v>42.653190000000002</v>
      </c>
      <c r="I432">
        <v>-73.783869999999993</v>
      </c>
      <c r="J432" t="s">
        <v>31</v>
      </c>
      <c r="K432">
        <v>63</v>
      </c>
      <c r="L432">
        <v>7</v>
      </c>
      <c r="M432">
        <v>4</v>
      </c>
      <c r="N432" s="1">
        <v>46181</v>
      </c>
      <c r="O432">
        <v>0.83</v>
      </c>
      <c r="P432">
        <v>3</v>
      </c>
      <c r="Q432">
        <v>189</v>
      </c>
      <c r="R432">
        <v>4</v>
      </c>
    </row>
    <row r="433" spans="1:18" x14ac:dyDescent="0.35">
      <c r="A433">
        <v>1.5769133653616599E+18</v>
      </c>
      <c r="B433" t="s">
        <v>623</v>
      </c>
      <c r="C433">
        <v>466790114</v>
      </c>
      <c r="D433">
        <v>1.46811396819747E+18</v>
      </c>
      <c r="E433" t="s">
        <v>504</v>
      </c>
      <c r="G433" t="s">
        <v>40</v>
      </c>
      <c r="H433">
        <v>42.681460000000001</v>
      </c>
      <c r="I433">
        <v>-73.78313</v>
      </c>
      <c r="J433" t="s">
        <v>22</v>
      </c>
      <c r="K433">
        <v>99</v>
      </c>
      <c r="L433">
        <v>1</v>
      </c>
      <c r="M433">
        <v>5</v>
      </c>
      <c r="N433" s="1">
        <v>46168</v>
      </c>
      <c r="O433">
        <v>1.47</v>
      </c>
      <c r="P433">
        <v>29</v>
      </c>
      <c r="Q433">
        <v>362</v>
      </c>
      <c r="R433">
        <v>5</v>
      </c>
    </row>
    <row r="434" spans="1:18" x14ac:dyDescent="0.35">
      <c r="A434">
        <v>1.57691855012367E+18</v>
      </c>
      <c r="B434" t="s">
        <v>624</v>
      </c>
      <c r="C434">
        <v>466790114</v>
      </c>
      <c r="D434">
        <v>1.46811396819747E+18</v>
      </c>
      <c r="E434" t="s">
        <v>504</v>
      </c>
      <c r="G434" t="s">
        <v>40</v>
      </c>
      <c r="H434">
        <v>42.680059999999997</v>
      </c>
      <c r="I434">
        <v>-73.783860000000004</v>
      </c>
      <c r="J434" t="s">
        <v>22</v>
      </c>
      <c r="K434">
        <v>91</v>
      </c>
      <c r="L434">
        <v>1</v>
      </c>
      <c r="M434">
        <v>9</v>
      </c>
      <c r="N434" s="1">
        <v>46158</v>
      </c>
      <c r="O434">
        <v>1.8</v>
      </c>
      <c r="P434">
        <v>29</v>
      </c>
      <c r="Q434">
        <v>362</v>
      </c>
      <c r="R434">
        <v>9</v>
      </c>
    </row>
    <row r="435" spans="1:18" x14ac:dyDescent="0.35">
      <c r="A435">
        <v>1.5791018945929101E+18</v>
      </c>
      <c r="B435" t="s">
        <v>625</v>
      </c>
      <c r="C435">
        <v>121680792</v>
      </c>
      <c r="D435">
        <v>1.46823542108925E+18</v>
      </c>
      <c r="E435" t="s">
        <v>286</v>
      </c>
      <c r="G435" t="s">
        <v>68</v>
      </c>
      <c r="H435">
        <v>42.669580000000003</v>
      </c>
      <c r="I435">
        <v>-73.797219999999996</v>
      </c>
      <c r="J435" t="s">
        <v>22</v>
      </c>
      <c r="K435">
        <v>204</v>
      </c>
      <c r="L435">
        <v>4</v>
      </c>
      <c r="M435">
        <v>1</v>
      </c>
      <c r="N435" s="1">
        <v>46021</v>
      </c>
      <c r="O435">
        <v>0.18</v>
      </c>
      <c r="P435">
        <v>4</v>
      </c>
      <c r="Q435">
        <v>329</v>
      </c>
      <c r="R435">
        <v>1</v>
      </c>
    </row>
    <row r="436" spans="1:18" x14ac:dyDescent="0.35">
      <c r="A436">
        <v>1.5856858532765801E+18</v>
      </c>
      <c r="B436" t="s">
        <v>626</v>
      </c>
      <c r="C436">
        <v>61433748</v>
      </c>
      <c r="D436">
        <v>1.4667560363789801E+18</v>
      </c>
      <c r="E436" t="s">
        <v>627</v>
      </c>
      <c r="G436" t="s">
        <v>21</v>
      </c>
      <c r="H436">
        <v>42.655030600000003</v>
      </c>
      <c r="I436">
        <v>-73.751729400000002</v>
      </c>
      <c r="J436" t="s">
        <v>22</v>
      </c>
      <c r="K436">
        <v>190</v>
      </c>
      <c r="L436">
        <v>1</v>
      </c>
      <c r="M436">
        <v>14</v>
      </c>
      <c r="N436" s="1">
        <v>46159</v>
      </c>
      <c r="O436">
        <v>3.44</v>
      </c>
      <c r="P436">
        <v>1</v>
      </c>
      <c r="Q436">
        <v>11</v>
      </c>
      <c r="R436">
        <v>14</v>
      </c>
    </row>
    <row r="437" spans="1:18" x14ac:dyDescent="0.35">
      <c r="A437">
        <v>1.59663825596322E+18</v>
      </c>
      <c r="B437" t="s">
        <v>628</v>
      </c>
      <c r="C437">
        <v>323992015</v>
      </c>
      <c r="D437">
        <v>1.4696155040794601E+18</v>
      </c>
      <c r="E437" t="s">
        <v>629</v>
      </c>
      <c r="G437" t="s">
        <v>84</v>
      </c>
      <c r="H437">
        <v>42.645139999999998</v>
      </c>
      <c r="I437">
        <v>-73.788659999999993</v>
      </c>
      <c r="J437" t="s">
        <v>22</v>
      </c>
      <c r="K437">
        <v>343</v>
      </c>
      <c r="L437">
        <v>1</v>
      </c>
      <c r="M437">
        <v>6</v>
      </c>
      <c r="N437" s="1">
        <v>46188</v>
      </c>
      <c r="O437">
        <v>2.4700000000000002</v>
      </c>
      <c r="P437">
        <v>1</v>
      </c>
      <c r="Q437">
        <v>312</v>
      </c>
      <c r="R437">
        <v>6</v>
      </c>
    </row>
    <row r="438" spans="1:18" x14ac:dyDescent="0.35">
      <c r="A438">
        <v>1.59746974024961E+18</v>
      </c>
      <c r="B438" t="s">
        <v>630</v>
      </c>
      <c r="C438">
        <v>739585626</v>
      </c>
      <c r="D438">
        <v>1.59663851126781E+18</v>
      </c>
      <c r="E438" t="s">
        <v>631</v>
      </c>
      <c r="G438" t="s">
        <v>28</v>
      </c>
      <c r="H438">
        <v>42.645337784122802</v>
      </c>
      <c r="I438">
        <v>-73.760164403704806</v>
      </c>
      <c r="J438" t="s">
        <v>22</v>
      </c>
      <c r="K438">
        <v>115</v>
      </c>
      <c r="L438">
        <v>1</v>
      </c>
      <c r="M438">
        <v>2</v>
      </c>
      <c r="N438" s="1">
        <v>46159</v>
      </c>
      <c r="O438">
        <v>1.87</v>
      </c>
      <c r="P438">
        <v>1</v>
      </c>
      <c r="Q438">
        <v>340</v>
      </c>
      <c r="R438">
        <v>2</v>
      </c>
    </row>
    <row r="439" spans="1:18" x14ac:dyDescent="0.35">
      <c r="A439">
        <v>1.59878148312947E+18</v>
      </c>
      <c r="B439" t="s">
        <v>632</v>
      </c>
      <c r="C439">
        <v>47625981</v>
      </c>
      <c r="D439">
        <v>1.46270726328816E+18</v>
      </c>
      <c r="E439" t="s">
        <v>132</v>
      </c>
      <c r="G439" t="s">
        <v>64</v>
      </c>
      <c r="H439">
        <v>42.6490130306859</v>
      </c>
      <c r="I439">
        <v>-73.766813916215199</v>
      </c>
      <c r="J439" t="s">
        <v>22</v>
      </c>
      <c r="K439">
        <v>269</v>
      </c>
      <c r="L439">
        <v>1</v>
      </c>
      <c r="M439">
        <v>6</v>
      </c>
      <c r="N439" s="1">
        <v>46159</v>
      </c>
      <c r="O439">
        <v>1.57</v>
      </c>
      <c r="P439">
        <v>16</v>
      </c>
      <c r="Q439">
        <v>344</v>
      </c>
      <c r="R439">
        <v>6</v>
      </c>
    </row>
    <row r="440" spans="1:18" x14ac:dyDescent="0.35">
      <c r="A440">
        <v>1.6015676888229499E+18</v>
      </c>
      <c r="B440" t="s">
        <v>633</v>
      </c>
      <c r="C440">
        <v>73777155</v>
      </c>
      <c r="D440">
        <v>1.60156768996482E+18</v>
      </c>
      <c r="E440" t="s">
        <v>634</v>
      </c>
      <c r="G440" t="s">
        <v>84</v>
      </c>
      <c r="H440">
        <v>42.651620000000001</v>
      </c>
      <c r="I440">
        <v>-73.810770000000005</v>
      </c>
      <c r="J440" t="s">
        <v>22</v>
      </c>
      <c r="K440">
        <v>209</v>
      </c>
      <c r="L440">
        <v>2</v>
      </c>
      <c r="M440">
        <v>5</v>
      </c>
      <c r="N440" s="1">
        <v>46089</v>
      </c>
      <c r="O440">
        <v>1.23</v>
      </c>
      <c r="P440">
        <v>1</v>
      </c>
      <c r="Q440">
        <v>166</v>
      </c>
      <c r="R440">
        <v>5</v>
      </c>
    </row>
    <row r="441" spans="1:18" x14ac:dyDescent="0.35">
      <c r="A441">
        <v>1.6047607982128901E+18</v>
      </c>
      <c r="B441" t="s">
        <v>635</v>
      </c>
      <c r="C441">
        <v>42708277</v>
      </c>
      <c r="D441">
        <v>1.4656344824728699E+18</v>
      </c>
      <c r="E441" t="s">
        <v>354</v>
      </c>
      <c r="G441" t="s">
        <v>25</v>
      </c>
      <c r="H441">
        <v>42.654620000000001</v>
      </c>
      <c r="I441">
        <v>-73.760270000000006</v>
      </c>
      <c r="J441" t="s">
        <v>22</v>
      </c>
      <c r="K441">
        <v>185</v>
      </c>
      <c r="L441">
        <v>1</v>
      </c>
      <c r="M441">
        <v>11</v>
      </c>
      <c r="N441" s="1">
        <v>46164</v>
      </c>
      <c r="O441">
        <v>2.3199999999999998</v>
      </c>
      <c r="P441">
        <v>5</v>
      </c>
      <c r="Q441">
        <v>361</v>
      </c>
      <c r="R441">
        <v>11</v>
      </c>
    </row>
    <row r="442" spans="1:18" x14ac:dyDescent="0.35">
      <c r="A442">
        <v>1.60621770296143E+18</v>
      </c>
      <c r="B442" t="s">
        <v>636</v>
      </c>
      <c r="C442">
        <v>114629237</v>
      </c>
      <c r="D442">
        <v>1.4629056038640499E+18</v>
      </c>
      <c r="E442" t="s">
        <v>637</v>
      </c>
      <c r="G442" t="s">
        <v>54</v>
      </c>
      <c r="H442">
        <v>42.669157406512397</v>
      </c>
      <c r="I442">
        <v>-73.767626205447002</v>
      </c>
      <c r="J442" t="s">
        <v>22</v>
      </c>
      <c r="L442">
        <v>2</v>
      </c>
      <c r="M442">
        <v>2</v>
      </c>
      <c r="N442" s="1">
        <v>46105</v>
      </c>
      <c r="O442">
        <v>0.47</v>
      </c>
      <c r="P442">
        <v>1</v>
      </c>
      <c r="Q442">
        <v>0</v>
      </c>
      <c r="R442">
        <v>2</v>
      </c>
    </row>
    <row r="443" spans="1:18" x14ac:dyDescent="0.35">
      <c r="A443">
        <v>1.6073301915488901E+18</v>
      </c>
      <c r="B443" t="s">
        <v>638</v>
      </c>
      <c r="C443">
        <v>466790114</v>
      </c>
      <c r="D443">
        <v>1.46811396819747E+18</v>
      </c>
      <c r="E443" t="s">
        <v>504</v>
      </c>
      <c r="G443" t="s">
        <v>40</v>
      </c>
      <c r="H443">
        <v>42.681690000000003</v>
      </c>
      <c r="I443">
        <v>-73.784670000000006</v>
      </c>
      <c r="J443" t="s">
        <v>22</v>
      </c>
      <c r="K443">
        <v>83</v>
      </c>
      <c r="L443">
        <v>1</v>
      </c>
      <c r="M443">
        <v>1</v>
      </c>
      <c r="N443" s="1">
        <v>46069</v>
      </c>
      <c r="O443">
        <v>0.25</v>
      </c>
      <c r="P443">
        <v>29</v>
      </c>
      <c r="Q443">
        <v>365</v>
      </c>
      <c r="R443">
        <v>1</v>
      </c>
    </row>
    <row r="444" spans="1:18" x14ac:dyDescent="0.35">
      <c r="A444">
        <v>1.6073347887157701E+18</v>
      </c>
      <c r="B444" t="s">
        <v>639</v>
      </c>
      <c r="C444">
        <v>466790114</v>
      </c>
      <c r="D444">
        <v>1.46811396819747E+18</v>
      </c>
      <c r="E444" t="s">
        <v>504</v>
      </c>
      <c r="G444" t="s">
        <v>40</v>
      </c>
      <c r="H444">
        <v>42.681660000000001</v>
      </c>
      <c r="I444">
        <v>-73.783370000000005</v>
      </c>
      <c r="J444" t="s">
        <v>22</v>
      </c>
      <c r="K444">
        <v>114</v>
      </c>
      <c r="L444">
        <v>1</v>
      </c>
      <c r="M444">
        <v>1</v>
      </c>
      <c r="N444" s="1">
        <v>46137</v>
      </c>
      <c r="O444">
        <v>0.56999999999999995</v>
      </c>
      <c r="P444">
        <v>29</v>
      </c>
      <c r="Q444">
        <v>348</v>
      </c>
      <c r="R444">
        <v>1</v>
      </c>
    </row>
    <row r="445" spans="1:18" x14ac:dyDescent="0.35">
      <c r="A445">
        <v>1.60734003775469E+18</v>
      </c>
      <c r="B445" t="s">
        <v>640</v>
      </c>
      <c r="C445">
        <v>466790114</v>
      </c>
      <c r="D445">
        <v>1.46811396819747E+18</v>
      </c>
      <c r="E445" t="s">
        <v>504</v>
      </c>
      <c r="G445" t="s">
        <v>40</v>
      </c>
      <c r="H445">
        <v>42.682310000000001</v>
      </c>
      <c r="I445">
        <v>-73.783209999999997</v>
      </c>
      <c r="J445" t="s">
        <v>22</v>
      </c>
      <c r="K445">
        <v>81</v>
      </c>
      <c r="L445">
        <v>1</v>
      </c>
      <c r="M445">
        <v>1</v>
      </c>
      <c r="N445" s="1">
        <v>46118</v>
      </c>
      <c r="O445">
        <v>0.42</v>
      </c>
      <c r="P445">
        <v>29</v>
      </c>
      <c r="Q445">
        <v>364</v>
      </c>
      <c r="R445">
        <v>1</v>
      </c>
    </row>
    <row r="446" spans="1:18" x14ac:dyDescent="0.35">
      <c r="A446">
        <v>1.6089205068824801E+18</v>
      </c>
      <c r="B446" t="s">
        <v>641</v>
      </c>
      <c r="C446">
        <v>349460842</v>
      </c>
      <c r="D446">
        <v>1.4696952540817001E+18</v>
      </c>
      <c r="E446" t="s">
        <v>122</v>
      </c>
      <c r="G446" t="s">
        <v>47</v>
      </c>
      <c r="H446">
        <v>42.662382679230497</v>
      </c>
      <c r="I446">
        <v>-73.786409262788894</v>
      </c>
      <c r="J446" t="s">
        <v>31</v>
      </c>
      <c r="K446">
        <v>72</v>
      </c>
      <c r="L446">
        <v>28</v>
      </c>
      <c r="M446">
        <v>1</v>
      </c>
      <c r="N446" s="1">
        <v>46151</v>
      </c>
      <c r="O446">
        <v>0.77</v>
      </c>
      <c r="P446">
        <v>21</v>
      </c>
      <c r="Q446">
        <v>276</v>
      </c>
      <c r="R446">
        <v>1</v>
      </c>
    </row>
    <row r="447" spans="1:18" x14ac:dyDescent="0.35">
      <c r="A447">
        <v>1.60949185124801E+18</v>
      </c>
      <c r="B447" t="s">
        <v>642</v>
      </c>
      <c r="C447">
        <v>685706660</v>
      </c>
      <c r="D447">
        <v>1.4707119179517701E+18</v>
      </c>
      <c r="E447" t="s">
        <v>643</v>
      </c>
      <c r="G447" t="s">
        <v>117</v>
      </c>
      <c r="H447">
        <v>42.639190253752197</v>
      </c>
      <c r="I447">
        <v>-73.775329399999904</v>
      </c>
      <c r="J447" t="s">
        <v>22</v>
      </c>
      <c r="K447">
        <v>148</v>
      </c>
      <c r="L447">
        <v>1</v>
      </c>
      <c r="M447">
        <v>12</v>
      </c>
      <c r="N447" s="1">
        <v>46175</v>
      </c>
      <c r="O447">
        <v>3.6</v>
      </c>
      <c r="P447">
        <v>1</v>
      </c>
      <c r="Q447">
        <v>119</v>
      </c>
      <c r="R447">
        <v>12</v>
      </c>
    </row>
    <row r="448" spans="1:18" x14ac:dyDescent="0.35">
      <c r="A448">
        <v>1.6110955561322501E+18</v>
      </c>
      <c r="B448" t="s">
        <v>644</v>
      </c>
      <c r="C448">
        <v>19648678</v>
      </c>
      <c r="D448">
        <v>1.4630870240167099E+18</v>
      </c>
      <c r="E448" t="s">
        <v>24</v>
      </c>
      <c r="G448" t="s">
        <v>25</v>
      </c>
      <c r="H448">
        <v>42.652143698498499</v>
      </c>
      <c r="I448">
        <v>-73.767364318869696</v>
      </c>
      <c r="J448" t="s">
        <v>22</v>
      </c>
      <c r="K448">
        <v>164</v>
      </c>
      <c r="L448">
        <v>1</v>
      </c>
      <c r="M448">
        <v>22</v>
      </c>
      <c r="N448" s="1">
        <v>46180</v>
      </c>
      <c r="O448">
        <v>5.41</v>
      </c>
      <c r="P448">
        <v>7</v>
      </c>
      <c r="Q448">
        <v>343</v>
      </c>
      <c r="R448">
        <v>22</v>
      </c>
    </row>
    <row r="449" spans="1:18" x14ac:dyDescent="0.35">
      <c r="A449">
        <v>1.62122258448752E+18</v>
      </c>
      <c r="B449" t="s">
        <v>645</v>
      </c>
      <c r="C449">
        <v>746227721</v>
      </c>
      <c r="D449">
        <v>1.6212225850709801E+18</v>
      </c>
      <c r="E449" t="s">
        <v>646</v>
      </c>
      <c r="G449" t="s">
        <v>25</v>
      </c>
      <c r="H449">
        <v>42.654580000000003</v>
      </c>
      <c r="I449">
        <v>-73.767750000000007</v>
      </c>
      <c r="J449" t="s">
        <v>31</v>
      </c>
      <c r="K449">
        <v>71</v>
      </c>
      <c r="L449">
        <v>1</v>
      </c>
      <c r="M449">
        <v>5</v>
      </c>
      <c r="N449" s="1">
        <v>46155</v>
      </c>
      <c r="O449">
        <v>1.3</v>
      </c>
      <c r="P449">
        <v>4</v>
      </c>
      <c r="Q449">
        <v>339</v>
      </c>
      <c r="R449">
        <v>5</v>
      </c>
    </row>
    <row r="450" spans="1:18" x14ac:dyDescent="0.35">
      <c r="A450">
        <v>1.6234029929491999E+18</v>
      </c>
      <c r="B450" t="s">
        <v>647</v>
      </c>
      <c r="C450">
        <v>349460842</v>
      </c>
      <c r="D450">
        <v>1.4696952540817001E+18</v>
      </c>
      <c r="E450" t="s">
        <v>122</v>
      </c>
      <c r="G450" t="s">
        <v>47</v>
      </c>
      <c r="H450">
        <v>42.661133141062699</v>
      </c>
      <c r="I450">
        <v>-73.787341723671503</v>
      </c>
      <c r="J450" t="s">
        <v>31</v>
      </c>
      <c r="K450">
        <v>77</v>
      </c>
      <c r="L450">
        <v>21</v>
      </c>
      <c r="M450">
        <v>0</v>
      </c>
      <c r="P450">
        <v>21</v>
      </c>
      <c r="Q450">
        <v>319</v>
      </c>
      <c r="R450">
        <v>0</v>
      </c>
    </row>
    <row r="451" spans="1:18" x14ac:dyDescent="0.35">
      <c r="A451">
        <v>1.62421804707426E+18</v>
      </c>
      <c r="B451" t="s">
        <v>648</v>
      </c>
      <c r="C451">
        <v>746227721</v>
      </c>
      <c r="D451">
        <v>1.6212225850709801E+18</v>
      </c>
      <c r="E451" t="s">
        <v>646</v>
      </c>
      <c r="G451" t="s">
        <v>25</v>
      </c>
      <c r="H451">
        <v>42.652981173089501</v>
      </c>
      <c r="I451">
        <v>-73.765667492880993</v>
      </c>
      <c r="J451" t="s">
        <v>22</v>
      </c>
      <c r="K451">
        <v>226</v>
      </c>
      <c r="L451">
        <v>1</v>
      </c>
      <c r="M451">
        <v>10</v>
      </c>
      <c r="N451" s="1">
        <v>46180</v>
      </c>
      <c r="O451">
        <v>3.75</v>
      </c>
      <c r="P451">
        <v>4</v>
      </c>
      <c r="Q451">
        <v>334</v>
      </c>
      <c r="R451">
        <v>10</v>
      </c>
    </row>
    <row r="452" spans="1:18" x14ac:dyDescent="0.35">
      <c r="A452">
        <v>1.62422096741105E+18</v>
      </c>
      <c r="B452" t="s">
        <v>649</v>
      </c>
      <c r="C452">
        <v>433096110</v>
      </c>
      <c r="D452">
        <v>1.4699604510154099E+18</v>
      </c>
      <c r="E452" t="s">
        <v>176</v>
      </c>
      <c r="G452" t="s">
        <v>34</v>
      </c>
      <c r="H452">
        <v>42.658644799999998</v>
      </c>
      <c r="I452">
        <v>-73.802200399999904</v>
      </c>
      <c r="J452" t="s">
        <v>22</v>
      </c>
      <c r="K452">
        <v>288</v>
      </c>
      <c r="L452">
        <v>1</v>
      </c>
      <c r="M452">
        <v>9</v>
      </c>
      <c r="N452" s="1">
        <v>46186</v>
      </c>
      <c r="O452">
        <v>2.33</v>
      </c>
      <c r="P452">
        <v>4</v>
      </c>
      <c r="Q452">
        <v>356</v>
      </c>
      <c r="R452">
        <v>9</v>
      </c>
    </row>
    <row r="453" spans="1:18" x14ac:dyDescent="0.35">
      <c r="A453">
        <v>1.6257859602167301E+18</v>
      </c>
      <c r="B453" t="s">
        <v>645</v>
      </c>
      <c r="C453">
        <v>746227721</v>
      </c>
      <c r="D453">
        <v>1.6212225850709801E+18</v>
      </c>
      <c r="E453" t="s">
        <v>646</v>
      </c>
      <c r="G453" t="s">
        <v>25</v>
      </c>
      <c r="H453">
        <v>42.653889999999997</v>
      </c>
      <c r="I453">
        <v>-73.766159999999999</v>
      </c>
      <c r="J453" t="s">
        <v>31</v>
      </c>
      <c r="K453">
        <v>71</v>
      </c>
      <c r="L453">
        <v>1</v>
      </c>
      <c r="M453">
        <v>2</v>
      </c>
      <c r="N453" s="1">
        <v>46102</v>
      </c>
      <c r="O453">
        <v>0.64</v>
      </c>
      <c r="P453">
        <v>4</v>
      </c>
      <c r="Q453">
        <v>335</v>
      </c>
      <c r="R453">
        <v>2</v>
      </c>
    </row>
    <row r="454" spans="1:18" x14ac:dyDescent="0.35">
      <c r="A454">
        <v>1.6257910207814799E+18</v>
      </c>
      <c r="B454" t="s">
        <v>650</v>
      </c>
      <c r="C454">
        <v>746227721</v>
      </c>
      <c r="D454">
        <v>1.6212225850709801E+18</v>
      </c>
      <c r="E454" t="s">
        <v>646</v>
      </c>
      <c r="G454" t="s">
        <v>25</v>
      </c>
      <c r="H454">
        <v>42.653954187945203</v>
      </c>
      <c r="I454">
        <v>-73.766041518987805</v>
      </c>
      <c r="J454" t="s">
        <v>31</v>
      </c>
      <c r="K454">
        <v>71</v>
      </c>
      <c r="L454">
        <v>1</v>
      </c>
      <c r="M454">
        <v>5</v>
      </c>
      <c r="N454" s="1">
        <v>46128</v>
      </c>
      <c r="O454">
        <v>1.46</v>
      </c>
      <c r="P454">
        <v>4</v>
      </c>
      <c r="Q454">
        <v>341</v>
      </c>
      <c r="R454">
        <v>5</v>
      </c>
    </row>
    <row r="455" spans="1:18" x14ac:dyDescent="0.35">
      <c r="A455">
        <v>1.63047858180352E+18</v>
      </c>
      <c r="B455" t="s">
        <v>651</v>
      </c>
      <c r="C455">
        <v>49372011</v>
      </c>
      <c r="D455">
        <v>1.4657527440528799E+18</v>
      </c>
      <c r="E455" t="s">
        <v>269</v>
      </c>
      <c r="G455" t="s">
        <v>64</v>
      </c>
      <c r="H455">
        <v>42.647449999999999</v>
      </c>
      <c r="I455">
        <v>-73.769679999999994</v>
      </c>
      <c r="J455" t="s">
        <v>22</v>
      </c>
      <c r="K455">
        <v>320</v>
      </c>
      <c r="L455">
        <v>1</v>
      </c>
      <c r="M455">
        <v>2</v>
      </c>
      <c r="N455" s="1">
        <v>46154</v>
      </c>
      <c r="O455">
        <v>0.64</v>
      </c>
      <c r="P455">
        <v>2</v>
      </c>
      <c r="Q455">
        <v>353</v>
      </c>
      <c r="R455">
        <v>2</v>
      </c>
    </row>
    <row r="456" spans="1:18" x14ac:dyDescent="0.35">
      <c r="A456">
        <v>1.63304993462178E+18</v>
      </c>
      <c r="B456" t="s">
        <v>652</v>
      </c>
      <c r="C456">
        <v>363028988</v>
      </c>
      <c r="D456">
        <v>1.4697292062661299E+18</v>
      </c>
      <c r="E456" t="s">
        <v>544</v>
      </c>
      <c r="G456" t="s">
        <v>68</v>
      </c>
      <c r="H456">
        <v>42.6692387335817</v>
      </c>
      <c r="I456">
        <v>-73.797972192180694</v>
      </c>
      <c r="J456" t="s">
        <v>22</v>
      </c>
      <c r="K456">
        <v>158</v>
      </c>
      <c r="L456">
        <v>5</v>
      </c>
      <c r="M456">
        <v>3</v>
      </c>
      <c r="N456" s="1">
        <v>46110</v>
      </c>
      <c r="O456">
        <v>0.95</v>
      </c>
      <c r="P456">
        <v>5</v>
      </c>
      <c r="Q456">
        <v>299</v>
      </c>
      <c r="R456">
        <v>3</v>
      </c>
    </row>
    <row r="457" spans="1:18" x14ac:dyDescent="0.35">
      <c r="A457">
        <v>1.63364177955213E+18</v>
      </c>
      <c r="B457" t="s">
        <v>653</v>
      </c>
      <c r="C457">
        <v>484673863</v>
      </c>
      <c r="D457">
        <v>1.46381230158115E+18</v>
      </c>
      <c r="E457" t="s">
        <v>259</v>
      </c>
      <c r="G457" t="s">
        <v>51</v>
      </c>
      <c r="H457">
        <v>42.654995700000001</v>
      </c>
      <c r="I457">
        <v>-73.775721500000003</v>
      </c>
      <c r="J457" t="s">
        <v>22</v>
      </c>
      <c r="K457">
        <v>225</v>
      </c>
      <c r="L457">
        <v>1</v>
      </c>
      <c r="M457">
        <v>6</v>
      </c>
      <c r="N457" s="1">
        <v>46174</v>
      </c>
      <c r="O457">
        <v>2.0699999999999998</v>
      </c>
      <c r="P457">
        <v>3</v>
      </c>
      <c r="Q457">
        <v>347</v>
      </c>
      <c r="R457">
        <v>6</v>
      </c>
    </row>
    <row r="458" spans="1:18" x14ac:dyDescent="0.35">
      <c r="A458">
        <v>1.6352175517363999E+18</v>
      </c>
      <c r="B458" t="s">
        <v>654</v>
      </c>
      <c r="C458">
        <v>363028988</v>
      </c>
      <c r="D458">
        <v>1.4697292062661299E+18</v>
      </c>
      <c r="E458" t="s">
        <v>544</v>
      </c>
      <c r="G458" t="s">
        <v>34</v>
      </c>
      <c r="H458">
        <v>42.66827</v>
      </c>
      <c r="I458">
        <v>-73.798829999999995</v>
      </c>
      <c r="J458" t="s">
        <v>31</v>
      </c>
      <c r="K458">
        <v>50</v>
      </c>
      <c r="L458">
        <v>5</v>
      </c>
      <c r="M458">
        <v>0</v>
      </c>
      <c r="P458">
        <v>5</v>
      </c>
      <c r="Q458">
        <v>343</v>
      </c>
      <c r="R458">
        <v>0</v>
      </c>
    </row>
    <row r="459" spans="1:18" x14ac:dyDescent="0.35">
      <c r="A459">
        <v>1.6352404058074501E+18</v>
      </c>
      <c r="B459" t="s">
        <v>655</v>
      </c>
      <c r="C459">
        <v>363028988</v>
      </c>
      <c r="D459">
        <v>1.4697292062661299E+18</v>
      </c>
      <c r="E459" t="s">
        <v>544</v>
      </c>
      <c r="G459" t="s">
        <v>34</v>
      </c>
      <c r="H459">
        <v>42.667830000000002</v>
      </c>
      <c r="I459">
        <v>-73.800529999999995</v>
      </c>
      <c r="J459" t="s">
        <v>31</v>
      </c>
      <c r="K459">
        <v>47</v>
      </c>
      <c r="L459">
        <v>5</v>
      </c>
      <c r="M459">
        <v>1</v>
      </c>
      <c r="N459" s="1">
        <v>46141</v>
      </c>
      <c r="O459">
        <v>0.61</v>
      </c>
      <c r="P459">
        <v>5</v>
      </c>
      <c r="Q459">
        <v>310</v>
      </c>
      <c r="R459">
        <v>1</v>
      </c>
    </row>
    <row r="460" spans="1:18" x14ac:dyDescent="0.35">
      <c r="A460">
        <v>1.6352655809773901E+18</v>
      </c>
      <c r="B460" t="s">
        <v>656</v>
      </c>
      <c r="C460">
        <v>363028988</v>
      </c>
      <c r="D460">
        <v>1.4697292062661299E+18</v>
      </c>
      <c r="E460" t="s">
        <v>544</v>
      </c>
      <c r="G460" t="s">
        <v>68</v>
      </c>
      <c r="H460">
        <v>42.66919</v>
      </c>
      <c r="I460">
        <v>-73.798649999999995</v>
      </c>
      <c r="J460" t="s">
        <v>31</v>
      </c>
      <c r="K460">
        <v>69</v>
      </c>
      <c r="L460">
        <v>5</v>
      </c>
      <c r="M460">
        <v>3</v>
      </c>
      <c r="N460" s="1">
        <v>46152</v>
      </c>
      <c r="O460">
        <v>1.32</v>
      </c>
      <c r="P460">
        <v>5</v>
      </c>
      <c r="Q460">
        <v>299</v>
      </c>
      <c r="R460">
        <v>3</v>
      </c>
    </row>
    <row r="461" spans="1:18" x14ac:dyDescent="0.35">
      <c r="A461">
        <v>1.64152718585006E+18</v>
      </c>
      <c r="B461" t="s">
        <v>657</v>
      </c>
      <c r="C461">
        <v>338394812</v>
      </c>
      <c r="D461">
        <v>1.6415271865267999E+18</v>
      </c>
      <c r="E461" t="s">
        <v>658</v>
      </c>
      <c r="G461" t="s">
        <v>51</v>
      </c>
      <c r="H461">
        <v>42.654269999999997</v>
      </c>
      <c r="I461">
        <v>-73.786450000000002</v>
      </c>
      <c r="J461" t="s">
        <v>22</v>
      </c>
      <c r="K461">
        <v>150</v>
      </c>
      <c r="L461">
        <v>2</v>
      </c>
      <c r="M461">
        <v>8</v>
      </c>
      <c r="N461" s="1">
        <v>46187</v>
      </c>
      <c r="O461">
        <v>3.04</v>
      </c>
      <c r="P461">
        <v>1</v>
      </c>
      <c r="Q461">
        <v>349</v>
      </c>
      <c r="R461">
        <v>8</v>
      </c>
    </row>
    <row r="462" spans="1:18" x14ac:dyDescent="0.35">
      <c r="A462">
        <v>1.6428313157525299E+18</v>
      </c>
      <c r="B462" t="s">
        <v>659</v>
      </c>
      <c r="C462">
        <v>705140675</v>
      </c>
      <c r="D462">
        <v>1.5087775794214799E+18</v>
      </c>
      <c r="E462" t="s">
        <v>660</v>
      </c>
      <c r="G462" t="s">
        <v>21</v>
      </c>
      <c r="H462">
        <v>42.645488999999998</v>
      </c>
      <c r="I462">
        <v>-73.750291599999997</v>
      </c>
      <c r="J462" t="s">
        <v>537</v>
      </c>
      <c r="K462">
        <v>124</v>
      </c>
      <c r="L462">
        <v>1</v>
      </c>
      <c r="M462">
        <v>0</v>
      </c>
      <c r="P462">
        <v>8</v>
      </c>
      <c r="Q462">
        <v>313</v>
      </c>
      <c r="R462">
        <v>0</v>
      </c>
    </row>
    <row r="463" spans="1:18" x14ac:dyDescent="0.35">
      <c r="A463">
        <v>1.64283131737389E+18</v>
      </c>
      <c r="B463" t="s">
        <v>661</v>
      </c>
      <c r="C463">
        <v>705140675</v>
      </c>
      <c r="D463">
        <v>1.5087775794214799E+18</v>
      </c>
      <c r="E463" t="s">
        <v>660</v>
      </c>
      <c r="G463" t="s">
        <v>21</v>
      </c>
      <c r="H463">
        <v>42.645488999999998</v>
      </c>
      <c r="I463">
        <v>-73.750291599999997</v>
      </c>
      <c r="J463" t="s">
        <v>537</v>
      </c>
      <c r="K463">
        <v>124</v>
      </c>
      <c r="L463">
        <v>1</v>
      </c>
      <c r="M463">
        <v>0</v>
      </c>
      <c r="P463">
        <v>8</v>
      </c>
      <c r="Q463">
        <v>313</v>
      </c>
      <c r="R463">
        <v>0</v>
      </c>
    </row>
    <row r="464" spans="1:18" x14ac:dyDescent="0.35">
      <c r="A464">
        <v>1.6428313205007501E+18</v>
      </c>
      <c r="B464" t="s">
        <v>662</v>
      </c>
      <c r="C464">
        <v>705140675</v>
      </c>
      <c r="D464">
        <v>1.5087775794214799E+18</v>
      </c>
      <c r="E464" t="s">
        <v>660</v>
      </c>
      <c r="G464" t="s">
        <v>21</v>
      </c>
      <c r="H464">
        <v>42.645488999999998</v>
      </c>
      <c r="I464">
        <v>-73.750291599999997</v>
      </c>
      <c r="J464" t="s">
        <v>537</v>
      </c>
      <c r="K464">
        <v>248</v>
      </c>
      <c r="L464">
        <v>1</v>
      </c>
      <c r="M464">
        <v>0</v>
      </c>
      <c r="P464">
        <v>8</v>
      </c>
      <c r="Q464">
        <v>312</v>
      </c>
      <c r="R464">
        <v>0</v>
      </c>
    </row>
    <row r="465" spans="1:18" x14ac:dyDescent="0.35">
      <c r="A465">
        <v>1.64283132055649E+18</v>
      </c>
      <c r="B465" t="s">
        <v>663</v>
      </c>
      <c r="C465">
        <v>705140675</v>
      </c>
      <c r="D465">
        <v>1.5087775794214799E+18</v>
      </c>
      <c r="E465" t="s">
        <v>660</v>
      </c>
      <c r="G465" t="s">
        <v>21</v>
      </c>
      <c r="H465">
        <v>42.645488999999998</v>
      </c>
      <c r="I465">
        <v>-73.750291599999997</v>
      </c>
      <c r="J465" t="s">
        <v>537</v>
      </c>
      <c r="K465">
        <v>248</v>
      </c>
      <c r="L465">
        <v>1</v>
      </c>
      <c r="M465">
        <v>0</v>
      </c>
      <c r="P465">
        <v>8</v>
      </c>
      <c r="Q465">
        <v>312</v>
      </c>
      <c r="R465">
        <v>0</v>
      </c>
    </row>
    <row r="466" spans="1:18" x14ac:dyDescent="0.35">
      <c r="A466">
        <v>1.64283132835486E+18</v>
      </c>
      <c r="B466" t="s">
        <v>664</v>
      </c>
      <c r="C466">
        <v>705140675</v>
      </c>
      <c r="D466">
        <v>1.5087775794214799E+18</v>
      </c>
      <c r="E466" t="s">
        <v>660</v>
      </c>
      <c r="G466" t="s">
        <v>21</v>
      </c>
      <c r="H466">
        <v>42.645490000000002</v>
      </c>
      <c r="I466">
        <v>-73.750290000000007</v>
      </c>
      <c r="J466" t="s">
        <v>537</v>
      </c>
      <c r="K466">
        <v>372</v>
      </c>
      <c r="L466">
        <v>1</v>
      </c>
      <c r="M466">
        <v>0</v>
      </c>
      <c r="P466">
        <v>8</v>
      </c>
      <c r="Q466">
        <v>312</v>
      </c>
      <c r="R466">
        <v>0</v>
      </c>
    </row>
    <row r="467" spans="1:18" x14ac:dyDescent="0.35">
      <c r="A467">
        <v>1.6428313384775099E+18</v>
      </c>
      <c r="B467" t="s">
        <v>665</v>
      </c>
      <c r="C467">
        <v>705140675</v>
      </c>
      <c r="D467">
        <v>1.5087775794214799E+18</v>
      </c>
      <c r="E467" t="s">
        <v>660</v>
      </c>
      <c r="G467" t="s">
        <v>21</v>
      </c>
      <c r="H467">
        <v>42.645488999999998</v>
      </c>
      <c r="I467">
        <v>-73.750291599999997</v>
      </c>
      <c r="J467" t="s">
        <v>537</v>
      </c>
      <c r="K467">
        <v>372</v>
      </c>
      <c r="L467">
        <v>1</v>
      </c>
      <c r="M467">
        <v>0</v>
      </c>
      <c r="P467">
        <v>8</v>
      </c>
      <c r="Q467">
        <v>312</v>
      </c>
      <c r="R467">
        <v>0</v>
      </c>
    </row>
    <row r="468" spans="1:18" x14ac:dyDescent="0.35">
      <c r="A468">
        <v>1.64283135785486E+18</v>
      </c>
      <c r="B468" t="s">
        <v>666</v>
      </c>
      <c r="C468">
        <v>705140675</v>
      </c>
      <c r="D468">
        <v>1.5087775794214799E+18</v>
      </c>
      <c r="E468" t="s">
        <v>660</v>
      </c>
      <c r="G468" t="s">
        <v>21</v>
      </c>
      <c r="H468">
        <v>42.645488999999998</v>
      </c>
      <c r="I468">
        <v>-73.750291599999997</v>
      </c>
      <c r="J468" t="s">
        <v>537</v>
      </c>
      <c r="K468">
        <v>124</v>
      </c>
      <c r="L468">
        <v>1</v>
      </c>
      <c r="M468">
        <v>0</v>
      </c>
      <c r="P468">
        <v>8</v>
      </c>
      <c r="Q468">
        <v>316</v>
      </c>
      <c r="R468">
        <v>0</v>
      </c>
    </row>
    <row r="469" spans="1:18" x14ac:dyDescent="0.35">
      <c r="A469">
        <v>1.6428313584350799E+18</v>
      </c>
      <c r="B469" t="s">
        <v>667</v>
      </c>
      <c r="C469">
        <v>705140675</v>
      </c>
      <c r="D469">
        <v>1.5087775794214799E+18</v>
      </c>
      <c r="E469" t="s">
        <v>660</v>
      </c>
      <c r="G469" t="s">
        <v>21</v>
      </c>
      <c r="H469">
        <v>42.645488999999998</v>
      </c>
      <c r="I469">
        <v>-73.750291599999997</v>
      </c>
      <c r="J469" t="s">
        <v>537</v>
      </c>
      <c r="K469">
        <v>124</v>
      </c>
      <c r="L469">
        <v>1</v>
      </c>
      <c r="M469">
        <v>0</v>
      </c>
      <c r="P469">
        <v>8</v>
      </c>
      <c r="Q469">
        <v>316</v>
      </c>
      <c r="R469">
        <v>0</v>
      </c>
    </row>
    <row r="470" spans="1:18" x14ac:dyDescent="0.35">
      <c r="A470">
        <v>1.6466433771497201E+18</v>
      </c>
      <c r="B470" t="s">
        <v>668</v>
      </c>
      <c r="C470">
        <v>206292817</v>
      </c>
      <c r="D470">
        <v>1.4690760253618601E+18</v>
      </c>
      <c r="E470" t="s">
        <v>669</v>
      </c>
      <c r="G470" t="s">
        <v>25</v>
      </c>
      <c r="H470">
        <v>42.653840000000002</v>
      </c>
      <c r="I470">
        <v>-73.767629999999997</v>
      </c>
      <c r="J470" t="s">
        <v>22</v>
      </c>
      <c r="K470">
        <v>133</v>
      </c>
      <c r="L470">
        <v>3</v>
      </c>
      <c r="M470">
        <v>6</v>
      </c>
      <c r="N470" s="1">
        <v>46176</v>
      </c>
      <c r="O470">
        <v>2.31</v>
      </c>
      <c r="P470">
        <v>2</v>
      </c>
      <c r="Q470">
        <v>331</v>
      </c>
      <c r="R470">
        <v>6</v>
      </c>
    </row>
    <row r="471" spans="1:18" x14ac:dyDescent="0.35">
      <c r="A471">
        <v>1.6492831292330299E+18</v>
      </c>
      <c r="B471" t="s">
        <v>670</v>
      </c>
      <c r="C471">
        <v>37769478</v>
      </c>
      <c r="D471">
        <v>1.4655652968529201E+18</v>
      </c>
      <c r="E471" t="s">
        <v>182</v>
      </c>
      <c r="G471" t="s">
        <v>25</v>
      </c>
      <c r="H471">
        <v>42.653632500000001</v>
      </c>
      <c r="I471">
        <v>-73.770234799999997</v>
      </c>
      <c r="J471" t="s">
        <v>22</v>
      </c>
      <c r="K471">
        <v>166</v>
      </c>
      <c r="L471">
        <v>1</v>
      </c>
      <c r="M471">
        <v>6</v>
      </c>
      <c r="N471" s="1">
        <v>46165</v>
      </c>
      <c r="O471">
        <v>2.65</v>
      </c>
      <c r="P471">
        <v>16</v>
      </c>
      <c r="Q471">
        <v>336</v>
      </c>
      <c r="R471">
        <v>6</v>
      </c>
    </row>
    <row r="472" spans="1:18" x14ac:dyDescent="0.35">
      <c r="A472">
        <v>1.65102173288531E+18</v>
      </c>
      <c r="B472" t="s">
        <v>671</v>
      </c>
      <c r="C472">
        <v>376559722</v>
      </c>
      <c r="D472">
        <v>1.6510217337391301E+18</v>
      </c>
      <c r="E472" t="s">
        <v>672</v>
      </c>
      <c r="G472" t="s">
        <v>51</v>
      </c>
      <c r="H472">
        <v>42.655439999999999</v>
      </c>
      <c r="I472">
        <v>-73.776790000000005</v>
      </c>
      <c r="J472" t="s">
        <v>22</v>
      </c>
      <c r="K472">
        <v>160</v>
      </c>
      <c r="L472">
        <v>1</v>
      </c>
      <c r="M472">
        <v>6</v>
      </c>
      <c r="N472" s="1">
        <v>46167</v>
      </c>
      <c r="O472">
        <v>2.77</v>
      </c>
      <c r="P472">
        <v>1</v>
      </c>
      <c r="Q472">
        <v>13</v>
      </c>
      <c r="R472">
        <v>6</v>
      </c>
    </row>
    <row r="473" spans="1:18" x14ac:dyDescent="0.35">
      <c r="A473">
        <v>1.6514257663724301E+18</v>
      </c>
      <c r="B473" t="s">
        <v>673</v>
      </c>
      <c r="C473">
        <v>744091135</v>
      </c>
      <c r="D473">
        <v>1.6514257672203599E+18</v>
      </c>
      <c r="E473" t="s">
        <v>674</v>
      </c>
      <c r="G473" t="s">
        <v>47</v>
      </c>
      <c r="H473">
        <v>42.661799999999999</v>
      </c>
      <c r="I473">
        <v>-73.790099999999995</v>
      </c>
      <c r="J473" t="s">
        <v>22</v>
      </c>
      <c r="K473">
        <v>442</v>
      </c>
      <c r="L473">
        <v>1</v>
      </c>
      <c r="M473">
        <v>2</v>
      </c>
      <c r="N473" s="1">
        <v>46173</v>
      </c>
      <c r="O473">
        <v>2</v>
      </c>
      <c r="P473">
        <v>1</v>
      </c>
      <c r="Q473">
        <v>35</v>
      </c>
      <c r="R473">
        <v>2</v>
      </c>
    </row>
    <row r="474" spans="1:18" x14ac:dyDescent="0.35">
      <c r="A474">
        <v>1.6546021030168E+18</v>
      </c>
      <c r="B474" t="s">
        <v>675</v>
      </c>
      <c r="C474">
        <v>206292817</v>
      </c>
      <c r="D474">
        <v>1.4690760253618601E+18</v>
      </c>
      <c r="E474" t="s">
        <v>669</v>
      </c>
      <c r="G474" t="s">
        <v>25</v>
      </c>
      <c r="H474">
        <v>42.653559999999999</v>
      </c>
      <c r="I474">
        <v>-73.767439999999993</v>
      </c>
      <c r="J474" t="s">
        <v>22</v>
      </c>
      <c r="K474">
        <v>132</v>
      </c>
      <c r="L474">
        <v>3</v>
      </c>
      <c r="M474">
        <v>5</v>
      </c>
      <c r="N474" s="1">
        <v>46183</v>
      </c>
      <c r="O474">
        <v>2.68</v>
      </c>
      <c r="P474">
        <v>2</v>
      </c>
      <c r="Q474">
        <v>335</v>
      </c>
      <c r="R474">
        <v>5</v>
      </c>
    </row>
    <row r="475" spans="1:18" x14ac:dyDescent="0.35">
      <c r="A475">
        <v>1.65683135045312E+18</v>
      </c>
      <c r="B475" t="s">
        <v>676</v>
      </c>
      <c r="C475">
        <v>754206433</v>
      </c>
      <c r="D475">
        <v>1.65683135114849E+18</v>
      </c>
      <c r="E475" t="s">
        <v>677</v>
      </c>
      <c r="G475" t="s">
        <v>25</v>
      </c>
      <c r="H475">
        <v>42.6518923560931</v>
      </c>
      <c r="I475">
        <v>-73.765306659042807</v>
      </c>
      <c r="J475" t="s">
        <v>22</v>
      </c>
      <c r="K475">
        <v>125</v>
      </c>
      <c r="L475">
        <v>1</v>
      </c>
      <c r="M475">
        <v>14</v>
      </c>
      <c r="N475" s="1">
        <v>46181</v>
      </c>
      <c r="O475">
        <v>7.12</v>
      </c>
      <c r="P475">
        <v>1</v>
      </c>
      <c r="Q475">
        <v>315</v>
      </c>
      <c r="R475">
        <v>14</v>
      </c>
    </row>
    <row r="476" spans="1:18" x14ac:dyDescent="0.35">
      <c r="A476">
        <v>1.6668646192345001E+18</v>
      </c>
      <c r="B476" t="s">
        <v>678</v>
      </c>
      <c r="C476">
        <v>32379616</v>
      </c>
      <c r="D476">
        <v>1.4654754916985201E+18</v>
      </c>
      <c r="E476" t="s">
        <v>426</v>
      </c>
      <c r="G476" t="s">
        <v>47</v>
      </c>
      <c r="H476">
        <v>42.660078222164998</v>
      </c>
      <c r="I476">
        <v>-73.782032768403397</v>
      </c>
      <c r="J476" t="s">
        <v>31</v>
      </c>
      <c r="K476">
        <v>45</v>
      </c>
      <c r="L476">
        <v>28</v>
      </c>
      <c r="M476">
        <v>0</v>
      </c>
      <c r="P476">
        <v>8</v>
      </c>
      <c r="Q476">
        <v>361</v>
      </c>
      <c r="R476">
        <v>0</v>
      </c>
    </row>
    <row r="477" spans="1:18" x14ac:dyDescent="0.35">
      <c r="A477">
        <v>1.66890856067775E+18</v>
      </c>
      <c r="B477" t="s">
        <v>679</v>
      </c>
      <c r="C477">
        <v>466790114</v>
      </c>
      <c r="D477">
        <v>1.46811396819747E+18</v>
      </c>
      <c r="E477" t="s">
        <v>504</v>
      </c>
      <c r="G477" t="s">
        <v>270</v>
      </c>
      <c r="H477">
        <v>42.682282862427499</v>
      </c>
      <c r="I477">
        <v>-73.785031447993802</v>
      </c>
      <c r="J477" t="s">
        <v>22</v>
      </c>
      <c r="K477">
        <v>89</v>
      </c>
      <c r="L477">
        <v>1</v>
      </c>
      <c r="M477">
        <v>1</v>
      </c>
      <c r="N477" s="1">
        <v>46189</v>
      </c>
      <c r="O477">
        <v>1</v>
      </c>
      <c r="P477">
        <v>29</v>
      </c>
      <c r="Q477">
        <v>365</v>
      </c>
      <c r="R477">
        <v>1</v>
      </c>
    </row>
    <row r="478" spans="1:18" x14ac:dyDescent="0.35">
      <c r="A478">
        <v>1.6713172274369201E+18</v>
      </c>
      <c r="B478" t="s">
        <v>680</v>
      </c>
      <c r="C478">
        <v>233515764</v>
      </c>
      <c r="D478">
        <v>1.46924386914754E+18</v>
      </c>
      <c r="E478" t="s">
        <v>359</v>
      </c>
      <c r="G478" t="s">
        <v>25</v>
      </c>
      <c r="H478">
        <v>42.653409670923601</v>
      </c>
      <c r="I478">
        <v>-73.767911944184902</v>
      </c>
      <c r="J478" t="s">
        <v>22</v>
      </c>
      <c r="K478">
        <v>124</v>
      </c>
      <c r="L478">
        <v>2</v>
      </c>
      <c r="M478">
        <v>4</v>
      </c>
      <c r="N478" s="1">
        <v>46168</v>
      </c>
      <c r="O478">
        <v>2.73</v>
      </c>
      <c r="P478">
        <v>8</v>
      </c>
      <c r="Q478">
        <v>244</v>
      </c>
      <c r="R478">
        <v>4</v>
      </c>
    </row>
    <row r="479" spans="1:18" x14ac:dyDescent="0.35">
      <c r="A479">
        <v>1.67244105752096E+18</v>
      </c>
      <c r="B479" t="s">
        <v>681</v>
      </c>
      <c r="C479">
        <v>37769478</v>
      </c>
      <c r="D479">
        <v>1.4655652968529201E+18</v>
      </c>
      <c r="E479" t="s">
        <v>182</v>
      </c>
      <c r="G479" t="s">
        <v>25</v>
      </c>
      <c r="H479">
        <v>42.653632500000001</v>
      </c>
      <c r="I479">
        <v>-73.770234799999997</v>
      </c>
      <c r="J479" t="s">
        <v>22</v>
      </c>
      <c r="K479">
        <v>208</v>
      </c>
      <c r="L479">
        <v>1</v>
      </c>
      <c r="M479">
        <v>1</v>
      </c>
      <c r="N479" s="1">
        <v>46179</v>
      </c>
      <c r="O479">
        <v>1</v>
      </c>
      <c r="P479">
        <v>16</v>
      </c>
      <c r="Q479">
        <v>351</v>
      </c>
      <c r="R479">
        <v>1</v>
      </c>
    </row>
    <row r="480" spans="1:18" x14ac:dyDescent="0.35">
      <c r="A480">
        <v>1.67495597943233E+18</v>
      </c>
      <c r="B480" t="s">
        <v>682</v>
      </c>
      <c r="C480">
        <v>1.6749558635845901E+18</v>
      </c>
      <c r="D480">
        <v>1.6749559800616E+18</v>
      </c>
      <c r="E480" t="s">
        <v>683</v>
      </c>
      <c r="G480" t="s">
        <v>40</v>
      </c>
      <c r="H480">
        <v>42.667479999999998</v>
      </c>
      <c r="I480">
        <v>-73.776809999999998</v>
      </c>
      <c r="J480" t="s">
        <v>31</v>
      </c>
      <c r="K480">
        <v>42</v>
      </c>
      <c r="L480">
        <v>30</v>
      </c>
      <c r="M480">
        <v>0</v>
      </c>
      <c r="P480">
        <v>1</v>
      </c>
      <c r="Q480">
        <v>163</v>
      </c>
      <c r="R480">
        <v>0</v>
      </c>
    </row>
    <row r="481" spans="1:18" x14ac:dyDescent="0.35">
      <c r="A481">
        <v>1.6769232237608901E+18</v>
      </c>
      <c r="B481" t="s">
        <v>684</v>
      </c>
      <c r="C481">
        <v>1.6769226754398899E+18</v>
      </c>
      <c r="D481">
        <v>1.67692322467249E+18</v>
      </c>
      <c r="E481" t="s">
        <v>685</v>
      </c>
      <c r="G481" t="s">
        <v>117</v>
      </c>
      <c r="H481">
        <v>42.637875800000003</v>
      </c>
      <c r="I481">
        <v>-73.759429299999994</v>
      </c>
      <c r="J481" t="s">
        <v>22</v>
      </c>
      <c r="K481">
        <v>224</v>
      </c>
      <c r="L481">
        <v>1</v>
      </c>
      <c r="M481">
        <v>2</v>
      </c>
      <c r="N481" s="1">
        <v>46180</v>
      </c>
      <c r="O481">
        <v>2</v>
      </c>
      <c r="P481">
        <v>1</v>
      </c>
      <c r="Q481">
        <v>362</v>
      </c>
      <c r="R481">
        <v>2</v>
      </c>
    </row>
    <row r="482" spans="1:18" x14ac:dyDescent="0.35">
      <c r="A482">
        <v>1.6792199227249999E+18</v>
      </c>
      <c r="B482" t="s">
        <v>686</v>
      </c>
      <c r="C482">
        <v>466790114</v>
      </c>
      <c r="D482">
        <v>1.46811396819747E+18</v>
      </c>
      <c r="E482" t="s">
        <v>504</v>
      </c>
      <c r="G482" t="s">
        <v>40</v>
      </c>
      <c r="H482">
        <v>42.680140000000002</v>
      </c>
      <c r="I482">
        <v>-73.784379999999999</v>
      </c>
      <c r="J482" t="s">
        <v>22</v>
      </c>
      <c r="K482">
        <v>96</v>
      </c>
      <c r="L482">
        <v>1</v>
      </c>
      <c r="M482">
        <v>3</v>
      </c>
      <c r="N482" s="1">
        <v>46171</v>
      </c>
      <c r="O482">
        <v>2.73</v>
      </c>
      <c r="P482">
        <v>29</v>
      </c>
      <c r="Q482">
        <v>362</v>
      </c>
      <c r="R482">
        <v>3</v>
      </c>
    </row>
    <row r="483" spans="1:18" x14ac:dyDescent="0.35">
      <c r="A483">
        <v>1.6792285578513101E+18</v>
      </c>
      <c r="B483" t="s">
        <v>687</v>
      </c>
      <c r="C483">
        <v>466790114</v>
      </c>
      <c r="D483">
        <v>1.46811396819747E+18</v>
      </c>
      <c r="E483" t="s">
        <v>504</v>
      </c>
      <c r="G483" t="s">
        <v>40</v>
      </c>
      <c r="H483">
        <v>42.681399999999996</v>
      </c>
      <c r="I483">
        <v>-73.784300000000002</v>
      </c>
      <c r="J483" t="s">
        <v>22</v>
      </c>
      <c r="K483">
        <v>97</v>
      </c>
      <c r="L483">
        <v>1</v>
      </c>
      <c r="M483">
        <v>1</v>
      </c>
      <c r="N483" s="1">
        <v>46159</v>
      </c>
      <c r="O483">
        <v>1</v>
      </c>
      <c r="P483">
        <v>29</v>
      </c>
      <c r="Q483">
        <v>364</v>
      </c>
      <c r="R483">
        <v>1</v>
      </c>
    </row>
    <row r="484" spans="1:18" x14ac:dyDescent="0.35">
      <c r="A484">
        <v>1.6792425145909499E+18</v>
      </c>
      <c r="B484" t="s">
        <v>688</v>
      </c>
      <c r="C484">
        <v>466790114</v>
      </c>
      <c r="D484">
        <v>1.46811396819747E+18</v>
      </c>
      <c r="E484" t="s">
        <v>504</v>
      </c>
      <c r="G484" t="s">
        <v>40</v>
      </c>
      <c r="H484">
        <v>42.680329999999998</v>
      </c>
      <c r="I484">
        <v>-73.784109999999998</v>
      </c>
      <c r="J484" t="s">
        <v>22</v>
      </c>
      <c r="K484">
        <v>91</v>
      </c>
      <c r="L484">
        <v>1</v>
      </c>
      <c r="M484">
        <v>0</v>
      </c>
      <c r="P484">
        <v>29</v>
      </c>
      <c r="Q484">
        <v>358</v>
      </c>
      <c r="R484">
        <v>0</v>
      </c>
    </row>
    <row r="485" spans="1:18" x14ac:dyDescent="0.35">
      <c r="A485">
        <v>1.6800300114285299E+18</v>
      </c>
      <c r="B485" t="s">
        <v>689</v>
      </c>
      <c r="C485">
        <v>107206246</v>
      </c>
      <c r="D485">
        <v>1.4672993848725901E+18</v>
      </c>
      <c r="E485" t="s">
        <v>605</v>
      </c>
      <c r="G485" t="s">
        <v>34</v>
      </c>
      <c r="H485">
        <v>42.658830000000002</v>
      </c>
      <c r="I485">
        <v>-73.80162</v>
      </c>
      <c r="J485" t="s">
        <v>22</v>
      </c>
      <c r="K485">
        <v>200</v>
      </c>
      <c r="L485">
        <v>1</v>
      </c>
      <c r="M485">
        <v>0</v>
      </c>
      <c r="P485">
        <v>2</v>
      </c>
      <c r="Q485">
        <v>361</v>
      </c>
      <c r="R485">
        <v>0</v>
      </c>
    </row>
    <row r="486" spans="1:18" x14ac:dyDescent="0.35">
      <c r="A486">
        <v>1.6814029408537201E+18</v>
      </c>
      <c r="B486" t="s">
        <v>690</v>
      </c>
      <c r="C486">
        <v>167102397</v>
      </c>
      <c r="D486">
        <v>1.4686185084415501E+18</v>
      </c>
      <c r="E486" t="s">
        <v>524</v>
      </c>
      <c r="G486" t="s">
        <v>25</v>
      </c>
      <c r="H486">
        <v>42.652929999999998</v>
      </c>
      <c r="I486">
        <v>-73.766739999999999</v>
      </c>
      <c r="J486" t="s">
        <v>22</v>
      </c>
      <c r="K486">
        <v>206</v>
      </c>
      <c r="L486">
        <v>1</v>
      </c>
      <c r="M486">
        <v>4</v>
      </c>
      <c r="N486" s="1">
        <v>46181</v>
      </c>
      <c r="O486">
        <v>3.64</v>
      </c>
      <c r="P486">
        <v>2</v>
      </c>
      <c r="Q486">
        <v>209</v>
      </c>
      <c r="R486">
        <v>4</v>
      </c>
    </row>
    <row r="487" spans="1:18" x14ac:dyDescent="0.35">
      <c r="A487">
        <v>1.68191593202573E+18</v>
      </c>
      <c r="B487" t="s">
        <v>691</v>
      </c>
      <c r="C487">
        <v>512736975</v>
      </c>
      <c r="D487">
        <v>1.47030596329886E+18</v>
      </c>
      <c r="E487" t="s">
        <v>281</v>
      </c>
      <c r="G487" t="s">
        <v>47</v>
      </c>
      <c r="H487">
        <v>42.660960000000003</v>
      </c>
      <c r="I487">
        <v>-73.775850000000005</v>
      </c>
      <c r="J487" t="s">
        <v>22</v>
      </c>
      <c r="K487">
        <v>149</v>
      </c>
      <c r="L487">
        <v>1</v>
      </c>
      <c r="M487">
        <v>0</v>
      </c>
      <c r="P487">
        <v>2</v>
      </c>
      <c r="Q487">
        <v>193</v>
      </c>
      <c r="R487">
        <v>0</v>
      </c>
    </row>
    <row r="488" spans="1:18" x14ac:dyDescent="0.35">
      <c r="A488">
        <v>1.68954453647458E+18</v>
      </c>
      <c r="B488" t="s">
        <v>692</v>
      </c>
      <c r="C488">
        <v>3073250</v>
      </c>
      <c r="D488">
        <v>1.4626176693267599E+18</v>
      </c>
      <c r="E488" t="s">
        <v>136</v>
      </c>
      <c r="G488" t="s">
        <v>25</v>
      </c>
      <c r="H488">
        <v>42.6512308</v>
      </c>
      <c r="I488">
        <v>-73.762446299999993</v>
      </c>
      <c r="J488" t="s">
        <v>22</v>
      </c>
      <c r="K488">
        <v>213</v>
      </c>
      <c r="L488">
        <v>1</v>
      </c>
      <c r="M488">
        <v>0</v>
      </c>
      <c r="P488">
        <v>1</v>
      </c>
      <c r="Q488">
        <v>319</v>
      </c>
      <c r="R488">
        <v>0</v>
      </c>
    </row>
    <row r="489" spans="1:18" x14ac:dyDescent="0.35">
      <c r="A489">
        <v>1.6978615608024801E+18</v>
      </c>
      <c r="B489" t="s">
        <v>693</v>
      </c>
      <c r="C489">
        <v>522436003</v>
      </c>
      <c r="D489">
        <v>1.47035066741235E+18</v>
      </c>
      <c r="E489" t="s">
        <v>399</v>
      </c>
      <c r="G489" t="s">
        <v>25</v>
      </c>
      <c r="H489">
        <v>42.653849800000003</v>
      </c>
      <c r="I489">
        <v>-73.77216</v>
      </c>
      <c r="J489" t="s">
        <v>31</v>
      </c>
      <c r="K489">
        <v>115</v>
      </c>
      <c r="L489">
        <v>2</v>
      </c>
      <c r="M489">
        <v>0</v>
      </c>
      <c r="P489">
        <v>6</v>
      </c>
      <c r="Q489">
        <v>359</v>
      </c>
      <c r="R489">
        <v>0</v>
      </c>
    </row>
    <row r="490" spans="1:18" x14ac:dyDescent="0.35">
      <c r="A490">
        <v>1.6978945139011799E+18</v>
      </c>
      <c r="B490" t="s">
        <v>694</v>
      </c>
      <c r="C490">
        <v>522436003</v>
      </c>
      <c r="D490">
        <v>1.47035066741235E+18</v>
      </c>
      <c r="E490" t="s">
        <v>399</v>
      </c>
      <c r="G490" t="s">
        <v>25</v>
      </c>
      <c r="H490">
        <v>42.653849800000003</v>
      </c>
      <c r="I490">
        <v>-73.77216</v>
      </c>
      <c r="J490" t="s">
        <v>31</v>
      </c>
      <c r="K490">
        <v>86</v>
      </c>
      <c r="L490">
        <v>2</v>
      </c>
      <c r="M490">
        <v>0</v>
      </c>
      <c r="P490">
        <v>6</v>
      </c>
      <c r="Q490">
        <v>362</v>
      </c>
      <c r="R490">
        <v>0</v>
      </c>
    </row>
    <row r="491" spans="1:18" x14ac:dyDescent="0.35">
      <c r="A491">
        <v>1.7014827372573599E+18</v>
      </c>
      <c r="B491" t="s">
        <v>695</v>
      </c>
      <c r="C491">
        <v>32379616</v>
      </c>
      <c r="D491">
        <v>1.4654754916985201E+18</v>
      </c>
      <c r="E491" t="s">
        <v>426</v>
      </c>
      <c r="G491" t="s">
        <v>21</v>
      </c>
      <c r="H491">
        <v>42.663146039006499</v>
      </c>
      <c r="I491">
        <v>-73.768458249441807</v>
      </c>
      <c r="J491" t="s">
        <v>31</v>
      </c>
      <c r="K491">
        <v>45</v>
      </c>
      <c r="L491">
        <v>28</v>
      </c>
      <c r="M491">
        <v>0</v>
      </c>
      <c r="P491">
        <v>8</v>
      </c>
      <c r="Q491">
        <v>365</v>
      </c>
      <c r="R49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DD616-92B5-46E9-B16B-93A0A300E803}">
  <dimension ref="A1:O459"/>
  <sheetViews>
    <sheetView topLeftCell="D1" workbookViewId="0">
      <selection activeCell="H16" sqref="H16"/>
    </sheetView>
  </sheetViews>
  <sheetFormatPr defaultRowHeight="14.5" x14ac:dyDescent="0.35"/>
  <cols>
    <col min="2" max="2" width="18.6640625" customWidth="1"/>
    <col min="3" max="3" width="17.4140625" customWidth="1"/>
    <col min="4" max="4" width="9.33203125" customWidth="1"/>
    <col min="5" max="5" width="10.6640625" customWidth="1"/>
    <col min="6" max="6" width="15.58203125" customWidth="1"/>
    <col min="8" max="8" width="16.83203125" customWidth="1"/>
    <col min="9" max="9" width="24.83203125" customWidth="1"/>
    <col min="10" max="10" width="16.9140625" customWidth="1"/>
    <col min="11" max="11" width="20.4140625" customWidth="1"/>
    <col min="12" max="12" width="28.5" customWidth="1"/>
    <col min="13" max="13" width="15.6640625" customWidth="1"/>
    <col min="14" max="14" width="23.33203125" customWidth="1"/>
    <col min="15" max="15" width="14.58203125" customWidth="1"/>
  </cols>
  <sheetData>
    <row r="1" spans="1:15" x14ac:dyDescent="0.35">
      <c r="A1" t="s">
        <v>1</v>
      </c>
      <c r="B1" t="s">
        <v>4</v>
      </c>
      <c r="C1" t="s">
        <v>6</v>
      </c>
      <c r="D1" t="s">
        <v>7</v>
      </c>
      <c r="E1" t="s">
        <v>8</v>
      </c>
      <c r="F1" t="s">
        <v>9</v>
      </c>
      <c r="G1" t="s">
        <v>10</v>
      </c>
      <c r="H1" t="s">
        <v>11</v>
      </c>
      <c r="I1" t="s">
        <v>12</v>
      </c>
      <c r="J1" t="s">
        <v>13</v>
      </c>
      <c r="K1" t="s">
        <v>14</v>
      </c>
      <c r="L1" t="s">
        <v>15</v>
      </c>
      <c r="M1" t="s">
        <v>16</v>
      </c>
      <c r="N1" t="s">
        <v>17</v>
      </c>
      <c r="O1" t="s">
        <v>743</v>
      </c>
    </row>
    <row r="2" spans="1:15" x14ac:dyDescent="0.35">
      <c r="A2" t="s">
        <v>19</v>
      </c>
      <c r="B2" t="s">
        <v>20</v>
      </c>
      <c r="C2" t="s">
        <v>21</v>
      </c>
      <c r="D2">
        <v>42.657890000000002</v>
      </c>
      <c r="E2">
        <v>-73.753699999999995</v>
      </c>
      <c r="F2" t="s">
        <v>22</v>
      </c>
      <c r="G2">
        <v>80</v>
      </c>
      <c r="H2">
        <v>28</v>
      </c>
      <c r="I2">
        <v>9</v>
      </c>
      <c r="J2" s="1">
        <v>44790</v>
      </c>
      <c r="K2">
        <v>0.06</v>
      </c>
      <c r="L2">
        <v>1</v>
      </c>
      <c r="M2">
        <v>77</v>
      </c>
      <c r="N2">
        <v>0</v>
      </c>
      <c r="O2" t="str">
        <f t="shared" ref="O2:O65" si="0">IF(G2&lt;=100,"0-100",
IF(G2&lt;=200,"101-200",
IF(G2&lt;=300,"201-300",
IF(G2&lt;=500,"301-500","500+"))))</f>
        <v>0-100</v>
      </c>
    </row>
    <row r="3" spans="1:15" x14ac:dyDescent="0.35">
      <c r="A3" t="s">
        <v>23</v>
      </c>
      <c r="B3" t="s">
        <v>24</v>
      </c>
      <c r="C3" t="s">
        <v>25</v>
      </c>
      <c r="D3">
        <v>42.65222</v>
      </c>
      <c r="E3">
        <v>-73.767240000000001</v>
      </c>
      <c r="F3" t="s">
        <v>22</v>
      </c>
      <c r="G3">
        <v>211</v>
      </c>
      <c r="H3">
        <v>1</v>
      </c>
      <c r="I3">
        <v>317</v>
      </c>
      <c r="J3" s="1">
        <v>46047</v>
      </c>
      <c r="K3">
        <v>2.2000000000000002</v>
      </c>
      <c r="L3">
        <v>7</v>
      </c>
      <c r="M3">
        <v>328</v>
      </c>
      <c r="N3">
        <v>8</v>
      </c>
      <c r="O3" t="str">
        <f t="shared" si="0"/>
        <v>201-300</v>
      </c>
    </row>
    <row r="4" spans="1:15" x14ac:dyDescent="0.35">
      <c r="A4" t="s">
        <v>26</v>
      </c>
      <c r="B4" t="s">
        <v>27</v>
      </c>
      <c r="C4" t="s">
        <v>28</v>
      </c>
      <c r="D4">
        <v>42.646149999999999</v>
      </c>
      <c r="E4">
        <v>-73.759659999999997</v>
      </c>
      <c r="F4" t="s">
        <v>22</v>
      </c>
      <c r="G4">
        <v>97</v>
      </c>
      <c r="H4">
        <v>1</v>
      </c>
      <c r="I4">
        <v>406</v>
      </c>
      <c r="J4" s="1">
        <v>46185</v>
      </c>
      <c r="K4">
        <v>3</v>
      </c>
      <c r="L4">
        <v>2</v>
      </c>
      <c r="M4">
        <v>25</v>
      </c>
      <c r="N4">
        <v>37</v>
      </c>
      <c r="O4" t="str">
        <f t="shared" si="0"/>
        <v>0-100</v>
      </c>
    </row>
    <row r="5" spans="1:15" x14ac:dyDescent="0.35">
      <c r="A5" t="s">
        <v>29</v>
      </c>
      <c r="B5" t="s">
        <v>24</v>
      </c>
      <c r="C5" t="s">
        <v>25</v>
      </c>
      <c r="D5">
        <v>42.65222</v>
      </c>
      <c r="E5">
        <v>-73.767240000000001</v>
      </c>
      <c r="F5" t="s">
        <v>22</v>
      </c>
      <c r="G5">
        <v>160</v>
      </c>
      <c r="H5">
        <v>1</v>
      </c>
      <c r="I5">
        <v>332</v>
      </c>
      <c r="J5" s="1">
        <v>45838</v>
      </c>
      <c r="K5">
        <v>2.4700000000000002</v>
      </c>
      <c r="L5">
        <v>7</v>
      </c>
      <c r="M5">
        <v>359</v>
      </c>
      <c r="N5">
        <v>1</v>
      </c>
      <c r="O5" t="str">
        <f t="shared" si="0"/>
        <v>101-200</v>
      </c>
    </row>
    <row r="6" spans="1:15" x14ac:dyDescent="0.35">
      <c r="A6" t="s">
        <v>30</v>
      </c>
      <c r="B6" t="s">
        <v>27</v>
      </c>
      <c r="C6" t="s">
        <v>28</v>
      </c>
      <c r="D6">
        <v>42.64734</v>
      </c>
      <c r="E6">
        <v>-73.758510000000001</v>
      </c>
      <c r="F6" t="s">
        <v>31</v>
      </c>
      <c r="G6">
        <v>86</v>
      </c>
      <c r="H6">
        <v>1</v>
      </c>
      <c r="I6">
        <v>469</v>
      </c>
      <c r="J6" s="1">
        <v>46182</v>
      </c>
      <c r="K6">
        <v>3.71</v>
      </c>
      <c r="L6">
        <v>2</v>
      </c>
      <c r="M6">
        <v>235</v>
      </c>
      <c r="N6">
        <v>47</v>
      </c>
      <c r="O6" t="str">
        <f t="shared" si="0"/>
        <v>0-100</v>
      </c>
    </row>
    <row r="7" spans="1:15" x14ac:dyDescent="0.35">
      <c r="A7" t="s">
        <v>32</v>
      </c>
      <c r="B7" t="s">
        <v>33</v>
      </c>
      <c r="C7" t="s">
        <v>34</v>
      </c>
      <c r="D7">
        <v>42.660780000000003</v>
      </c>
      <c r="E7">
        <v>-73.805530000000005</v>
      </c>
      <c r="F7" t="s">
        <v>31</v>
      </c>
      <c r="G7">
        <v>58</v>
      </c>
      <c r="H7">
        <v>1</v>
      </c>
      <c r="I7">
        <v>906</v>
      </c>
      <c r="J7" s="1">
        <v>46174</v>
      </c>
      <c r="K7">
        <v>7.18</v>
      </c>
      <c r="L7">
        <v>2</v>
      </c>
      <c r="M7">
        <v>154</v>
      </c>
      <c r="N7">
        <v>103</v>
      </c>
      <c r="O7" t="str">
        <f t="shared" si="0"/>
        <v>0-100</v>
      </c>
    </row>
    <row r="8" spans="1:15" x14ac:dyDescent="0.35">
      <c r="A8" t="s">
        <v>35</v>
      </c>
      <c r="B8" t="s">
        <v>36</v>
      </c>
      <c r="C8" t="s">
        <v>37</v>
      </c>
      <c r="D8">
        <v>42.675669999999997</v>
      </c>
      <c r="E8">
        <v>-73.824380000000005</v>
      </c>
      <c r="F8" t="s">
        <v>22</v>
      </c>
      <c r="G8">
        <v>277</v>
      </c>
      <c r="H8">
        <v>1</v>
      </c>
      <c r="I8">
        <v>227</v>
      </c>
      <c r="J8" s="1">
        <v>46166</v>
      </c>
      <c r="K8">
        <v>1.86</v>
      </c>
      <c r="L8">
        <v>8</v>
      </c>
      <c r="M8">
        <v>357</v>
      </c>
      <c r="N8">
        <v>36</v>
      </c>
      <c r="O8" t="str">
        <f t="shared" si="0"/>
        <v>201-300</v>
      </c>
    </row>
    <row r="9" spans="1:15" x14ac:dyDescent="0.35">
      <c r="A9" t="s">
        <v>38</v>
      </c>
      <c r="B9" t="s">
        <v>39</v>
      </c>
      <c r="C9" t="s">
        <v>40</v>
      </c>
      <c r="D9">
        <v>42.675829999999998</v>
      </c>
      <c r="E9">
        <v>-73.782970000000006</v>
      </c>
      <c r="F9" t="s">
        <v>31</v>
      </c>
      <c r="G9">
        <v>63</v>
      </c>
      <c r="H9">
        <v>15</v>
      </c>
      <c r="I9">
        <v>231</v>
      </c>
      <c r="J9" s="1">
        <v>45351</v>
      </c>
      <c r="K9">
        <v>1.89</v>
      </c>
      <c r="L9">
        <v>2</v>
      </c>
      <c r="M9">
        <v>364</v>
      </c>
      <c r="N9">
        <v>0</v>
      </c>
      <c r="O9" t="str">
        <f t="shared" si="0"/>
        <v>0-100</v>
      </c>
    </row>
    <row r="10" spans="1:15" x14ac:dyDescent="0.35">
      <c r="A10" t="s">
        <v>41</v>
      </c>
      <c r="B10" t="s">
        <v>42</v>
      </c>
      <c r="C10" t="s">
        <v>25</v>
      </c>
      <c r="D10">
        <v>42.651539999999997</v>
      </c>
      <c r="E10">
        <v>-73.76867</v>
      </c>
      <c r="F10" t="s">
        <v>31</v>
      </c>
      <c r="G10">
        <v>64</v>
      </c>
      <c r="H10">
        <v>5</v>
      </c>
      <c r="I10">
        <v>29</v>
      </c>
      <c r="J10" s="1">
        <v>45878</v>
      </c>
      <c r="K10">
        <v>0.41</v>
      </c>
      <c r="L10">
        <v>2</v>
      </c>
      <c r="M10">
        <v>263</v>
      </c>
      <c r="N10">
        <v>1</v>
      </c>
      <c r="O10" t="str">
        <f t="shared" si="0"/>
        <v>0-100</v>
      </c>
    </row>
    <row r="11" spans="1:15" x14ac:dyDescent="0.35">
      <c r="A11" t="s">
        <v>43</v>
      </c>
      <c r="B11" t="s">
        <v>44</v>
      </c>
      <c r="C11" t="s">
        <v>37</v>
      </c>
      <c r="D11">
        <v>42.669719999999998</v>
      </c>
      <c r="E11">
        <v>-73.827529999999996</v>
      </c>
      <c r="F11" t="s">
        <v>22</v>
      </c>
      <c r="G11">
        <v>313</v>
      </c>
      <c r="H11">
        <v>2</v>
      </c>
      <c r="I11">
        <v>200</v>
      </c>
      <c r="J11" s="1">
        <v>46187</v>
      </c>
      <c r="K11">
        <v>1.65</v>
      </c>
      <c r="L11">
        <v>1</v>
      </c>
      <c r="M11">
        <v>319</v>
      </c>
      <c r="N11">
        <v>11</v>
      </c>
      <c r="O11" t="str">
        <f t="shared" si="0"/>
        <v>301-500</v>
      </c>
    </row>
    <row r="12" spans="1:15" x14ac:dyDescent="0.35">
      <c r="A12" t="s">
        <v>45</v>
      </c>
      <c r="B12" t="s">
        <v>46</v>
      </c>
      <c r="C12" t="s">
        <v>47</v>
      </c>
      <c r="D12">
        <v>42.657260000000001</v>
      </c>
      <c r="E12">
        <v>-73.78219</v>
      </c>
      <c r="F12" t="s">
        <v>31</v>
      </c>
      <c r="G12">
        <v>52</v>
      </c>
      <c r="H12">
        <v>18</v>
      </c>
      <c r="I12">
        <v>55</v>
      </c>
      <c r="J12" s="1">
        <v>46081</v>
      </c>
      <c r="K12">
        <v>0.46</v>
      </c>
      <c r="L12">
        <v>2</v>
      </c>
      <c r="M12">
        <v>276</v>
      </c>
      <c r="N12">
        <v>1</v>
      </c>
      <c r="O12" t="str">
        <f t="shared" si="0"/>
        <v>0-100</v>
      </c>
    </row>
    <row r="13" spans="1:15" x14ac:dyDescent="0.35">
      <c r="A13" t="s">
        <v>48</v>
      </c>
      <c r="B13" t="s">
        <v>36</v>
      </c>
      <c r="C13" t="s">
        <v>37</v>
      </c>
      <c r="D13">
        <v>42.673512000000002</v>
      </c>
      <c r="E13">
        <v>-73.819678999999994</v>
      </c>
      <c r="F13" t="s">
        <v>22</v>
      </c>
      <c r="G13">
        <v>394</v>
      </c>
      <c r="H13">
        <v>1</v>
      </c>
      <c r="I13">
        <v>143</v>
      </c>
      <c r="J13" s="1">
        <v>46164</v>
      </c>
      <c r="K13">
        <v>1.22</v>
      </c>
      <c r="L13">
        <v>8</v>
      </c>
      <c r="M13">
        <v>305</v>
      </c>
      <c r="N13">
        <v>30</v>
      </c>
      <c r="O13" t="str">
        <f t="shared" si="0"/>
        <v>301-500</v>
      </c>
    </row>
    <row r="14" spans="1:15" x14ac:dyDescent="0.35">
      <c r="A14" t="s">
        <v>49</v>
      </c>
      <c r="B14" t="s">
        <v>50</v>
      </c>
      <c r="C14" t="s">
        <v>51</v>
      </c>
      <c r="D14">
        <v>42.656509999999997</v>
      </c>
      <c r="E14">
        <v>-73.778869999999998</v>
      </c>
      <c r="F14" t="s">
        <v>31</v>
      </c>
      <c r="G14">
        <v>69</v>
      </c>
      <c r="H14">
        <v>2</v>
      </c>
      <c r="I14">
        <v>55</v>
      </c>
      <c r="J14" s="1">
        <v>45981</v>
      </c>
      <c r="K14">
        <v>0.5</v>
      </c>
      <c r="L14">
        <v>2</v>
      </c>
      <c r="M14">
        <v>97</v>
      </c>
      <c r="N14">
        <v>7</v>
      </c>
      <c r="O14" t="str">
        <f t="shared" si="0"/>
        <v>0-100</v>
      </c>
    </row>
    <row r="15" spans="1:15" x14ac:dyDescent="0.35">
      <c r="A15" t="s">
        <v>52</v>
      </c>
      <c r="B15" t="s">
        <v>33</v>
      </c>
      <c r="C15" t="s">
        <v>34</v>
      </c>
      <c r="D15">
        <v>42.66075</v>
      </c>
      <c r="E15">
        <v>-73.806049999999999</v>
      </c>
      <c r="F15" t="s">
        <v>31</v>
      </c>
      <c r="G15">
        <v>92</v>
      </c>
      <c r="H15">
        <v>1</v>
      </c>
      <c r="I15">
        <v>604</v>
      </c>
      <c r="J15" s="1">
        <v>46174</v>
      </c>
      <c r="K15">
        <v>8.1999999999999993</v>
      </c>
      <c r="L15">
        <v>2</v>
      </c>
      <c r="M15">
        <v>333</v>
      </c>
      <c r="N15">
        <v>108</v>
      </c>
      <c r="O15" t="str">
        <f t="shared" si="0"/>
        <v>0-100</v>
      </c>
    </row>
    <row r="16" spans="1:15" ht="101.5" x14ac:dyDescent="0.35">
      <c r="A16" s="2" t="s">
        <v>53</v>
      </c>
      <c r="B16" t="s">
        <v>39</v>
      </c>
      <c r="C16" t="s">
        <v>54</v>
      </c>
      <c r="D16">
        <v>42.676139999999997</v>
      </c>
      <c r="E16">
        <v>-73.781689999999998</v>
      </c>
      <c r="F16" t="s">
        <v>31</v>
      </c>
      <c r="G16">
        <v>61</v>
      </c>
      <c r="H16">
        <v>15</v>
      </c>
      <c r="I16">
        <v>132</v>
      </c>
      <c r="J16" s="1">
        <v>45505</v>
      </c>
      <c r="K16">
        <v>1.18</v>
      </c>
      <c r="L16">
        <v>2</v>
      </c>
      <c r="M16">
        <v>364</v>
      </c>
      <c r="N16">
        <v>0</v>
      </c>
      <c r="O16" t="str">
        <f t="shared" si="0"/>
        <v>0-100</v>
      </c>
    </row>
    <row r="17" spans="1:15" x14ac:dyDescent="0.35">
      <c r="A17" t="s">
        <v>55</v>
      </c>
      <c r="B17" t="s">
        <v>46</v>
      </c>
      <c r="C17" t="s">
        <v>47</v>
      </c>
      <c r="D17">
        <v>42.6584</v>
      </c>
      <c r="E17">
        <v>-73.783090000000001</v>
      </c>
      <c r="F17" t="s">
        <v>31</v>
      </c>
      <c r="G17">
        <v>52</v>
      </c>
      <c r="H17">
        <v>1</v>
      </c>
      <c r="I17">
        <v>56</v>
      </c>
      <c r="J17" s="1">
        <v>45598</v>
      </c>
      <c r="K17">
        <v>0.5</v>
      </c>
      <c r="L17">
        <v>2</v>
      </c>
      <c r="M17">
        <v>332</v>
      </c>
      <c r="N17">
        <v>0</v>
      </c>
      <c r="O17" t="str">
        <f t="shared" si="0"/>
        <v>0-100</v>
      </c>
    </row>
    <row r="18" spans="1:15" x14ac:dyDescent="0.35">
      <c r="A18" t="s">
        <v>56</v>
      </c>
      <c r="B18" t="s">
        <v>36</v>
      </c>
      <c r="C18" t="s">
        <v>37</v>
      </c>
      <c r="D18">
        <v>42.676369999999999</v>
      </c>
      <c r="E18">
        <v>-73.823949999999996</v>
      </c>
      <c r="F18" t="s">
        <v>22</v>
      </c>
      <c r="G18">
        <v>412</v>
      </c>
      <c r="H18">
        <v>2</v>
      </c>
      <c r="I18">
        <v>58</v>
      </c>
      <c r="J18" s="1">
        <v>45517</v>
      </c>
      <c r="K18">
        <v>0.57999999999999996</v>
      </c>
      <c r="L18">
        <v>8</v>
      </c>
      <c r="M18">
        <v>350</v>
      </c>
      <c r="N18">
        <v>0</v>
      </c>
      <c r="O18" t="str">
        <f t="shared" si="0"/>
        <v>301-500</v>
      </c>
    </row>
    <row r="19" spans="1:15" x14ac:dyDescent="0.35">
      <c r="A19" t="s">
        <v>57</v>
      </c>
      <c r="B19" t="s">
        <v>58</v>
      </c>
      <c r="C19" t="s">
        <v>51</v>
      </c>
      <c r="D19">
        <v>42.653120000000001</v>
      </c>
      <c r="E19">
        <v>-73.781610000000001</v>
      </c>
      <c r="F19" t="s">
        <v>31</v>
      </c>
      <c r="G19">
        <v>92</v>
      </c>
      <c r="H19">
        <v>1</v>
      </c>
      <c r="I19">
        <v>92</v>
      </c>
      <c r="J19" s="1">
        <v>46122</v>
      </c>
      <c r="K19">
        <v>0.99</v>
      </c>
      <c r="L19">
        <v>3</v>
      </c>
      <c r="M19">
        <v>228</v>
      </c>
      <c r="N19">
        <v>10</v>
      </c>
      <c r="O19" t="str">
        <f t="shared" si="0"/>
        <v>0-100</v>
      </c>
    </row>
    <row r="20" spans="1:15" x14ac:dyDescent="0.35">
      <c r="A20" t="s">
        <v>59</v>
      </c>
      <c r="B20" t="s">
        <v>60</v>
      </c>
      <c r="C20" t="s">
        <v>34</v>
      </c>
      <c r="D20">
        <v>42.658459999999998</v>
      </c>
      <c r="E20">
        <v>-73.802009999999996</v>
      </c>
      <c r="F20" t="s">
        <v>22</v>
      </c>
      <c r="G20">
        <v>388</v>
      </c>
      <c r="H20">
        <v>4</v>
      </c>
      <c r="I20">
        <v>132</v>
      </c>
      <c r="J20" s="1">
        <v>46169</v>
      </c>
      <c r="K20">
        <v>1.26</v>
      </c>
      <c r="L20">
        <v>1</v>
      </c>
      <c r="M20">
        <v>334</v>
      </c>
      <c r="N20">
        <v>15</v>
      </c>
      <c r="O20" t="str">
        <f t="shared" si="0"/>
        <v>301-500</v>
      </c>
    </row>
    <row r="21" spans="1:15" x14ac:dyDescent="0.35">
      <c r="A21" t="s">
        <v>61</v>
      </c>
      <c r="B21" t="s">
        <v>36</v>
      </c>
      <c r="C21" t="s">
        <v>37</v>
      </c>
      <c r="D21">
        <v>42.674999999999997</v>
      </c>
      <c r="E21">
        <v>-73.823819999999998</v>
      </c>
      <c r="F21" t="s">
        <v>22</v>
      </c>
      <c r="G21">
        <v>246</v>
      </c>
      <c r="H21">
        <v>1</v>
      </c>
      <c r="I21">
        <v>102</v>
      </c>
      <c r="J21" s="1">
        <v>46089</v>
      </c>
      <c r="K21">
        <v>0.97</v>
      </c>
      <c r="L21">
        <v>8</v>
      </c>
      <c r="M21">
        <v>324</v>
      </c>
      <c r="N21">
        <v>21</v>
      </c>
      <c r="O21" t="str">
        <f t="shared" si="0"/>
        <v>201-300</v>
      </c>
    </row>
    <row r="22" spans="1:15" x14ac:dyDescent="0.35">
      <c r="A22" t="s">
        <v>62</v>
      </c>
      <c r="B22" t="s">
        <v>63</v>
      </c>
      <c r="C22" t="s">
        <v>64</v>
      </c>
      <c r="D22">
        <v>42.649389999999997</v>
      </c>
      <c r="E22">
        <v>-73.768649999999994</v>
      </c>
      <c r="F22" t="s">
        <v>22</v>
      </c>
      <c r="G22">
        <v>194</v>
      </c>
      <c r="H22">
        <v>2</v>
      </c>
      <c r="I22">
        <v>132</v>
      </c>
      <c r="J22" s="1">
        <v>45950</v>
      </c>
      <c r="K22">
        <v>1.32</v>
      </c>
      <c r="L22">
        <v>2</v>
      </c>
      <c r="M22">
        <v>355</v>
      </c>
      <c r="N22">
        <v>1</v>
      </c>
      <c r="O22" t="str">
        <f t="shared" si="0"/>
        <v>101-200</v>
      </c>
    </row>
    <row r="23" spans="1:15" x14ac:dyDescent="0.35">
      <c r="A23" t="s">
        <v>65</v>
      </c>
      <c r="B23" t="s">
        <v>66</v>
      </c>
      <c r="C23" t="s">
        <v>51</v>
      </c>
      <c r="D23">
        <v>42.655320000000003</v>
      </c>
      <c r="E23">
        <v>-73.782439999999994</v>
      </c>
      <c r="F23" t="s">
        <v>22</v>
      </c>
      <c r="G23">
        <v>129</v>
      </c>
      <c r="H23">
        <v>2</v>
      </c>
      <c r="I23">
        <v>54</v>
      </c>
      <c r="J23" s="1">
        <v>46170</v>
      </c>
      <c r="K23">
        <v>0.51</v>
      </c>
      <c r="L23">
        <v>8</v>
      </c>
      <c r="M23">
        <v>258</v>
      </c>
      <c r="N23">
        <v>6</v>
      </c>
      <c r="O23" t="str">
        <f t="shared" si="0"/>
        <v>101-200</v>
      </c>
    </row>
    <row r="24" spans="1:15" x14ac:dyDescent="0.35">
      <c r="A24" t="s">
        <v>67</v>
      </c>
      <c r="B24" t="s">
        <v>46</v>
      </c>
      <c r="C24" t="s">
        <v>68</v>
      </c>
      <c r="D24">
        <v>42.665649999999999</v>
      </c>
      <c r="E24">
        <v>-73.779750000000007</v>
      </c>
      <c r="F24" t="s">
        <v>31</v>
      </c>
      <c r="G24">
        <v>51</v>
      </c>
      <c r="H24">
        <v>18</v>
      </c>
      <c r="I24">
        <v>49</v>
      </c>
      <c r="J24" s="1">
        <v>46031</v>
      </c>
      <c r="K24">
        <v>0.51</v>
      </c>
      <c r="L24">
        <v>3</v>
      </c>
      <c r="M24">
        <v>359</v>
      </c>
      <c r="N24">
        <v>3</v>
      </c>
      <c r="O24" t="str">
        <f t="shared" si="0"/>
        <v>0-100</v>
      </c>
    </row>
    <row r="25" spans="1:15" x14ac:dyDescent="0.35">
      <c r="A25" t="s">
        <v>69</v>
      </c>
      <c r="B25" t="s">
        <v>66</v>
      </c>
      <c r="C25" t="s">
        <v>51</v>
      </c>
      <c r="D25">
        <v>42.65372</v>
      </c>
      <c r="E25">
        <v>-73.782439999999994</v>
      </c>
      <c r="F25" t="s">
        <v>22</v>
      </c>
      <c r="G25">
        <v>132</v>
      </c>
      <c r="H25">
        <v>2</v>
      </c>
      <c r="I25">
        <v>140</v>
      </c>
      <c r="J25" s="1">
        <v>46081</v>
      </c>
      <c r="K25">
        <v>1.34</v>
      </c>
      <c r="L25">
        <v>8</v>
      </c>
      <c r="M25">
        <v>259</v>
      </c>
      <c r="N25">
        <v>8</v>
      </c>
      <c r="O25" t="str">
        <f t="shared" si="0"/>
        <v>101-200</v>
      </c>
    </row>
    <row r="26" spans="1:15" x14ac:dyDescent="0.35">
      <c r="A26" t="s">
        <v>70</v>
      </c>
      <c r="B26" t="s">
        <v>36</v>
      </c>
      <c r="C26" t="s">
        <v>37</v>
      </c>
      <c r="D26">
        <v>42.675469999999997</v>
      </c>
      <c r="E26">
        <v>-73.824020000000004</v>
      </c>
      <c r="F26" t="s">
        <v>22</v>
      </c>
      <c r="G26">
        <v>846</v>
      </c>
      <c r="H26">
        <v>4</v>
      </c>
      <c r="I26">
        <v>9</v>
      </c>
      <c r="J26" s="1">
        <v>45874</v>
      </c>
      <c r="K26">
        <v>0.09</v>
      </c>
      <c r="L26">
        <v>8</v>
      </c>
      <c r="M26">
        <v>364</v>
      </c>
      <c r="N26">
        <v>1</v>
      </c>
      <c r="O26" t="str">
        <f t="shared" si="0"/>
        <v>500+</v>
      </c>
    </row>
    <row r="27" spans="1:15" x14ac:dyDescent="0.35">
      <c r="A27" t="s">
        <v>71</v>
      </c>
      <c r="B27" t="s">
        <v>72</v>
      </c>
      <c r="C27" t="s">
        <v>47</v>
      </c>
      <c r="D27">
        <v>42.660449999999997</v>
      </c>
      <c r="E27">
        <v>-73.778329999999997</v>
      </c>
      <c r="F27" t="s">
        <v>22</v>
      </c>
      <c r="G27">
        <v>114</v>
      </c>
      <c r="H27">
        <v>3</v>
      </c>
      <c r="I27">
        <v>191</v>
      </c>
      <c r="J27" s="1">
        <v>46155</v>
      </c>
      <c r="K27">
        <v>1.83</v>
      </c>
      <c r="L27">
        <v>9</v>
      </c>
      <c r="M27">
        <v>236</v>
      </c>
      <c r="N27">
        <v>10</v>
      </c>
      <c r="O27" t="str">
        <f t="shared" si="0"/>
        <v>101-200</v>
      </c>
    </row>
    <row r="28" spans="1:15" x14ac:dyDescent="0.35">
      <c r="A28" t="s">
        <v>74</v>
      </c>
      <c r="B28" t="s">
        <v>46</v>
      </c>
      <c r="C28" t="s">
        <v>40</v>
      </c>
      <c r="D28">
        <v>42.667029999999997</v>
      </c>
      <c r="E28">
        <v>-73.778419999999997</v>
      </c>
      <c r="F28" t="s">
        <v>31</v>
      </c>
      <c r="G28">
        <v>49</v>
      </c>
      <c r="H28">
        <v>20</v>
      </c>
      <c r="I28">
        <v>28</v>
      </c>
      <c r="J28" s="1">
        <v>46024</v>
      </c>
      <c r="K28">
        <v>0.27</v>
      </c>
      <c r="L28">
        <v>3</v>
      </c>
      <c r="M28">
        <v>303</v>
      </c>
      <c r="N28">
        <v>2</v>
      </c>
      <c r="O28" t="str">
        <f t="shared" si="0"/>
        <v>0-100</v>
      </c>
    </row>
    <row r="29" spans="1:15" x14ac:dyDescent="0.35">
      <c r="A29" t="s">
        <v>75</v>
      </c>
      <c r="B29" t="s">
        <v>66</v>
      </c>
      <c r="C29" t="s">
        <v>51</v>
      </c>
      <c r="D29">
        <v>42.655009999999997</v>
      </c>
      <c r="E29">
        <v>-73.781220000000005</v>
      </c>
      <c r="F29" t="s">
        <v>31</v>
      </c>
      <c r="G29">
        <v>103</v>
      </c>
      <c r="H29">
        <v>2</v>
      </c>
      <c r="I29">
        <v>142</v>
      </c>
      <c r="J29" s="1">
        <v>46184</v>
      </c>
      <c r="K29">
        <v>1.38</v>
      </c>
      <c r="L29">
        <v>8</v>
      </c>
      <c r="M29">
        <v>312</v>
      </c>
      <c r="N29">
        <v>20</v>
      </c>
      <c r="O29" t="str">
        <f t="shared" si="0"/>
        <v>101-200</v>
      </c>
    </row>
    <row r="30" spans="1:15" x14ac:dyDescent="0.35">
      <c r="A30" t="s">
        <v>76</v>
      </c>
      <c r="B30" t="s">
        <v>66</v>
      </c>
      <c r="C30" t="s">
        <v>51</v>
      </c>
      <c r="D30">
        <v>42.654310000000002</v>
      </c>
      <c r="E30">
        <v>-73.781779999999998</v>
      </c>
      <c r="F30" t="s">
        <v>31</v>
      </c>
      <c r="G30">
        <v>97</v>
      </c>
      <c r="H30">
        <v>2</v>
      </c>
      <c r="I30">
        <v>58</v>
      </c>
      <c r="J30" s="1">
        <v>46168</v>
      </c>
      <c r="K30">
        <v>0.62</v>
      </c>
      <c r="L30">
        <v>8</v>
      </c>
      <c r="M30">
        <v>352</v>
      </c>
      <c r="N30">
        <v>8</v>
      </c>
      <c r="O30" t="str">
        <f t="shared" si="0"/>
        <v>0-100</v>
      </c>
    </row>
    <row r="31" spans="1:15" x14ac:dyDescent="0.35">
      <c r="A31" t="s">
        <v>77</v>
      </c>
      <c r="B31" t="s">
        <v>78</v>
      </c>
      <c r="C31" t="s">
        <v>25</v>
      </c>
      <c r="D31">
        <v>42.653449999999999</v>
      </c>
      <c r="E31">
        <v>-73.764499999999998</v>
      </c>
      <c r="F31" t="s">
        <v>22</v>
      </c>
      <c r="G31">
        <v>115</v>
      </c>
      <c r="H31">
        <v>1</v>
      </c>
      <c r="I31">
        <v>996</v>
      </c>
      <c r="J31" s="1">
        <v>46173</v>
      </c>
      <c r="K31">
        <v>10.199999999999999</v>
      </c>
      <c r="L31">
        <v>1</v>
      </c>
      <c r="M31">
        <v>102</v>
      </c>
      <c r="N31">
        <v>61</v>
      </c>
      <c r="O31" t="str">
        <f t="shared" si="0"/>
        <v>101-200</v>
      </c>
    </row>
    <row r="32" spans="1:15" x14ac:dyDescent="0.35">
      <c r="A32" t="s">
        <v>79</v>
      </c>
      <c r="B32" t="s">
        <v>80</v>
      </c>
      <c r="C32" t="s">
        <v>25</v>
      </c>
      <c r="D32">
        <v>42.654029999999999</v>
      </c>
      <c r="E32">
        <v>-73.763249999999999</v>
      </c>
      <c r="F32" t="s">
        <v>22</v>
      </c>
      <c r="G32">
        <v>137</v>
      </c>
      <c r="H32">
        <v>2</v>
      </c>
      <c r="I32">
        <v>173</v>
      </c>
      <c r="J32" s="1">
        <v>46187</v>
      </c>
      <c r="K32">
        <v>1.81</v>
      </c>
      <c r="L32">
        <v>1</v>
      </c>
      <c r="M32">
        <v>309</v>
      </c>
      <c r="N32">
        <v>31</v>
      </c>
      <c r="O32" t="str">
        <f t="shared" si="0"/>
        <v>101-200</v>
      </c>
    </row>
    <row r="33" spans="1:15" x14ac:dyDescent="0.35">
      <c r="A33" t="s">
        <v>81</v>
      </c>
      <c r="B33" t="s">
        <v>66</v>
      </c>
      <c r="C33" t="s">
        <v>51</v>
      </c>
      <c r="D33">
        <v>42.654308319091797</v>
      </c>
      <c r="E33">
        <v>-73.781776428222599</v>
      </c>
      <c r="F33" t="s">
        <v>31</v>
      </c>
      <c r="G33">
        <v>100</v>
      </c>
      <c r="H33">
        <v>2</v>
      </c>
      <c r="I33">
        <v>39</v>
      </c>
      <c r="J33" s="1">
        <v>46160</v>
      </c>
      <c r="K33">
        <v>0.44</v>
      </c>
      <c r="L33">
        <v>8</v>
      </c>
      <c r="M33">
        <v>296</v>
      </c>
      <c r="N33">
        <v>13</v>
      </c>
      <c r="O33" t="str">
        <f t="shared" si="0"/>
        <v>0-100</v>
      </c>
    </row>
    <row r="34" spans="1:15" x14ac:dyDescent="0.35">
      <c r="A34" t="s">
        <v>82</v>
      </c>
      <c r="B34" t="s">
        <v>83</v>
      </c>
      <c r="C34" t="s">
        <v>84</v>
      </c>
      <c r="D34">
        <v>42.645139999999998</v>
      </c>
      <c r="E34">
        <v>-73.80668</v>
      </c>
      <c r="F34" t="s">
        <v>22</v>
      </c>
      <c r="G34">
        <v>343</v>
      </c>
      <c r="H34">
        <v>2</v>
      </c>
      <c r="I34">
        <v>17</v>
      </c>
      <c r="J34" s="1">
        <v>46159</v>
      </c>
      <c r="K34">
        <v>0.18</v>
      </c>
      <c r="L34">
        <v>1</v>
      </c>
      <c r="M34">
        <v>169</v>
      </c>
      <c r="N34">
        <v>3</v>
      </c>
      <c r="O34" t="str">
        <f t="shared" si="0"/>
        <v>301-500</v>
      </c>
    </row>
    <row r="35" spans="1:15" x14ac:dyDescent="0.35">
      <c r="A35" t="s">
        <v>85</v>
      </c>
      <c r="B35" t="s">
        <v>58</v>
      </c>
      <c r="C35" t="s">
        <v>51</v>
      </c>
      <c r="D35">
        <v>42.654640000000001</v>
      </c>
      <c r="E35">
        <v>-73.783479999999997</v>
      </c>
      <c r="F35" t="s">
        <v>31</v>
      </c>
      <c r="G35">
        <v>69</v>
      </c>
      <c r="H35">
        <v>1</v>
      </c>
      <c r="I35">
        <v>280</v>
      </c>
      <c r="J35" s="1">
        <v>46150</v>
      </c>
      <c r="K35">
        <v>3.03</v>
      </c>
      <c r="L35">
        <v>3</v>
      </c>
      <c r="M35">
        <v>224</v>
      </c>
      <c r="N35">
        <v>10</v>
      </c>
      <c r="O35" t="str">
        <f t="shared" si="0"/>
        <v>0-100</v>
      </c>
    </row>
    <row r="36" spans="1:15" x14ac:dyDescent="0.35">
      <c r="A36" t="s">
        <v>86</v>
      </c>
      <c r="B36" t="s">
        <v>87</v>
      </c>
      <c r="C36" t="s">
        <v>28</v>
      </c>
      <c r="D36">
        <v>42.645350000000001</v>
      </c>
      <c r="E36">
        <v>-73.753649999999993</v>
      </c>
      <c r="F36" t="s">
        <v>22</v>
      </c>
      <c r="G36">
        <v>142</v>
      </c>
      <c r="H36">
        <v>1</v>
      </c>
      <c r="I36">
        <v>749</v>
      </c>
      <c r="J36" s="1">
        <v>46182</v>
      </c>
      <c r="K36">
        <v>8.14</v>
      </c>
      <c r="L36">
        <v>11</v>
      </c>
      <c r="M36">
        <v>353</v>
      </c>
      <c r="N36">
        <v>57</v>
      </c>
      <c r="O36" t="str">
        <f t="shared" si="0"/>
        <v>101-200</v>
      </c>
    </row>
    <row r="37" spans="1:15" x14ac:dyDescent="0.35">
      <c r="A37" t="s">
        <v>88</v>
      </c>
      <c r="B37" t="s">
        <v>87</v>
      </c>
      <c r="C37" t="s">
        <v>28</v>
      </c>
      <c r="D37">
        <v>42.645350000000001</v>
      </c>
      <c r="E37">
        <v>-73.753649999999993</v>
      </c>
      <c r="F37" t="s">
        <v>22</v>
      </c>
      <c r="G37">
        <v>119</v>
      </c>
      <c r="H37">
        <v>1</v>
      </c>
      <c r="I37">
        <v>692</v>
      </c>
      <c r="J37" s="1">
        <v>46175</v>
      </c>
      <c r="K37">
        <v>7.57</v>
      </c>
      <c r="L37">
        <v>11</v>
      </c>
      <c r="M37">
        <v>338</v>
      </c>
      <c r="N37">
        <v>61</v>
      </c>
      <c r="O37" t="str">
        <f t="shared" si="0"/>
        <v>101-200</v>
      </c>
    </row>
    <row r="38" spans="1:15" ht="72.5" x14ac:dyDescent="0.35">
      <c r="A38" s="2" t="s">
        <v>89</v>
      </c>
      <c r="B38" t="s">
        <v>90</v>
      </c>
      <c r="C38" t="s">
        <v>91</v>
      </c>
      <c r="D38">
        <v>42.673699999999997</v>
      </c>
      <c r="E38">
        <v>-73.753129999999999</v>
      </c>
      <c r="F38" t="s">
        <v>31</v>
      </c>
      <c r="G38">
        <v>195</v>
      </c>
      <c r="H38">
        <v>1</v>
      </c>
      <c r="I38">
        <v>9</v>
      </c>
      <c r="J38" s="1">
        <v>46159</v>
      </c>
      <c r="K38">
        <v>0.1</v>
      </c>
      <c r="L38">
        <v>1</v>
      </c>
      <c r="M38">
        <v>149</v>
      </c>
      <c r="N38">
        <v>2</v>
      </c>
      <c r="O38" t="str">
        <f t="shared" si="0"/>
        <v>101-200</v>
      </c>
    </row>
    <row r="39" spans="1:15" x14ac:dyDescent="0.35">
      <c r="A39" t="s">
        <v>92</v>
      </c>
      <c r="B39" t="s">
        <v>24</v>
      </c>
      <c r="C39" t="s">
        <v>25</v>
      </c>
      <c r="D39">
        <v>42.652349999999998</v>
      </c>
      <c r="E39">
        <v>-73.767139999999998</v>
      </c>
      <c r="F39" t="s">
        <v>22</v>
      </c>
      <c r="G39">
        <v>186</v>
      </c>
      <c r="H39">
        <v>1</v>
      </c>
      <c r="I39">
        <v>137</v>
      </c>
      <c r="J39" s="1">
        <v>46144</v>
      </c>
      <c r="K39">
        <v>1.48</v>
      </c>
      <c r="L39">
        <v>7</v>
      </c>
      <c r="M39">
        <v>357</v>
      </c>
      <c r="N39">
        <v>30</v>
      </c>
      <c r="O39" t="str">
        <f t="shared" si="0"/>
        <v>101-200</v>
      </c>
    </row>
    <row r="40" spans="1:15" x14ac:dyDescent="0.35">
      <c r="A40" t="s">
        <v>93</v>
      </c>
      <c r="B40" t="s">
        <v>66</v>
      </c>
      <c r="C40" t="s">
        <v>51</v>
      </c>
      <c r="D40">
        <v>42.653300000000002</v>
      </c>
      <c r="E40">
        <v>-73.781139999999994</v>
      </c>
      <c r="F40" t="s">
        <v>31</v>
      </c>
      <c r="G40">
        <v>100</v>
      </c>
      <c r="H40">
        <v>2</v>
      </c>
      <c r="I40">
        <v>78</v>
      </c>
      <c r="J40" s="1">
        <v>46142</v>
      </c>
      <c r="K40">
        <v>0.87</v>
      </c>
      <c r="L40">
        <v>8</v>
      </c>
      <c r="M40">
        <v>225</v>
      </c>
      <c r="N40">
        <v>10</v>
      </c>
      <c r="O40" t="str">
        <f t="shared" si="0"/>
        <v>0-100</v>
      </c>
    </row>
    <row r="41" spans="1:15" x14ac:dyDescent="0.35">
      <c r="A41" t="s">
        <v>96</v>
      </c>
      <c r="B41" t="s">
        <v>97</v>
      </c>
      <c r="C41" t="s">
        <v>91</v>
      </c>
      <c r="D41">
        <v>42.676099999999998</v>
      </c>
      <c r="E41">
        <v>-73.738249999999994</v>
      </c>
      <c r="F41" t="s">
        <v>31</v>
      </c>
      <c r="G41">
        <v>203</v>
      </c>
      <c r="H41">
        <v>3</v>
      </c>
      <c r="I41">
        <v>1</v>
      </c>
      <c r="J41" s="1">
        <v>45593</v>
      </c>
      <c r="K41">
        <v>0.05</v>
      </c>
      <c r="L41">
        <v>1</v>
      </c>
      <c r="M41">
        <v>270</v>
      </c>
      <c r="N41">
        <v>0</v>
      </c>
      <c r="O41" t="str">
        <f t="shared" si="0"/>
        <v>201-300</v>
      </c>
    </row>
    <row r="42" spans="1:15" x14ac:dyDescent="0.35">
      <c r="A42" t="s">
        <v>98</v>
      </c>
      <c r="B42" t="s">
        <v>87</v>
      </c>
      <c r="C42" t="s">
        <v>28</v>
      </c>
      <c r="D42">
        <v>42.645629999999997</v>
      </c>
      <c r="E42">
        <v>-73.753110000000007</v>
      </c>
      <c r="F42" t="s">
        <v>22</v>
      </c>
      <c r="G42">
        <v>188</v>
      </c>
      <c r="H42">
        <v>1</v>
      </c>
      <c r="I42">
        <v>488</v>
      </c>
      <c r="J42" s="1">
        <v>46179</v>
      </c>
      <c r="K42">
        <v>5.53</v>
      </c>
      <c r="L42">
        <v>11</v>
      </c>
      <c r="M42">
        <v>348</v>
      </c>
      <c r="N42">
        <v>36</v>
      </c>
      <c r="O42" t="str">
        <f t="shared" si="0"/>
        <v>101-200</v>
      </c>
    </row>
    <row r="43" spans="1:15" x14ac:dyDescent="0.35">
      <c r="A43" t="s">
        <v>99</v>
      </c>
      <c r="B43" t="s">
        <v>87</v>
      </c>
      <c r="C43" t="s">
        <v>28</v>
      </c>
      <c r="D43">
        <v>42.645850000000003</v>
      </c>
      <c r="E43">
        <v>-73.752970000000005</v>
      </c>
      <c r="F43" t="s">
        <v>22</v>
      </c>
      <c r="G43">
        <v>186</v>
      </c>
      <c r="H43">
        <v>1</v>
      </c>
      <c r="I43">
        <v>505</v>
      </c>
      <c r="J43" s="1">
        <v>46166</v>
      </c>
      <c r="K43">
        <v>5.79</v>
      </c>
      <c r="L43">
        <v>11</v>
      </c>
      <c r="M43">
        <v>350</v>
      </c>
      <c r="N43">
        <v>42</v>
      </c>
      <c r="O43" t="str">
        <f t="shared" si="0"/>
        <v>101-200</v>
      </c>
    </row>
    <row r="44" spans="1:15" x14ac:dyDescent="0.35">
      <c r="A44" t="s">
        <v>100</v>
      </c>
      <c r="B44" t="s">
        <v>58</v>
      </c>
      <c r="C44" t="s">
        <v>64</v>
      </c>
      <c r="D44">
        <v>42.652589999999996</v>
      </c>
      <c r="E44">
        <v>-73.782229999999998</v>
      </c>
      <c r="F44" t="s">
        <v>31</v>
      </c>
      <c r="G44">
        <v>69</v>
      </c>
      <c r="H44">
        <v>1</v>
      </c>
      <c r="I44">
        <v>224</v>
      </c>
      <c r="J44" s="1">
        <v>46113</v>
      </c>
      <c r="K44">
        <v>2.65</v>
      </c>
      <c r="L44">
        <v>3</v>
      </c>
      <c r="M44">
        <v>228</v>
      </c>
      <c r="N44">
        <v>26</v>
      </c>
      <c r="O44" t="str">
        <f t="shared" si="0"/>
        <v>0-100</v>
      </c>
    </row>
    <row r="45" spans="1:15" x14ac:dyDescent="0.35">
      <c r="A45" t="s">
        <v>101</v>
      </c>
      <c r="B45" t="s">
        <v>95</v>
      </c>
      <c r="C45" t="s">
        <v>28</v>
      </c>
      <c r="D45">
        <v>42.645060000000001</v>
      </c>
      <c r="E45">
        <v>-73.757270000000005</v>
      </c>
      <c r="F45" t="s">
        <v>22</v>
      </c>
      <c r="G45">
        <v>145</v>
      </c>
      <c r="H45">
        <v>2</v>
      </c>
      <c r="I45">
        <v>336</v>
      </c>
      <c r="J45" s="1">
        <v>46172</v>
      </c>
      <c r="K45">
        <v>3.97</v>
      </c>
      <c r="L45">
        <v>14</v>
      </c>
      <c r="M45">
        <v>73</v>
      </c>
      <c r="N45">
        <v>25</v>
      </c>
      <c r="O45" t="str">
        <f t="shared" si="0"/>
        <v>101-200</v>
      </c>
    </row>
    <row r="46" spans="1:15" x14ac:dyDescent="0.35">
      <c r="A46" t="s">
        <v>102</v>
      </c>
      <c r="B46" t="s">
        <v>33</v>
      </c>
      <c r="C46" t="s">
        <v>68</v>
      </c>
      <c r="D46">
        <v>42.66619</v>
      </c>
      <c r="E46">
        <v>-73.790310000000005</v>
      </c>
      <c r="F46" t="s">
        <v>22</v>
      </c>
      <c r="G46">
        <v>97</v>
      </c>
      <c r="H46">
        <v>30</v>
      </c>
      <c r="I46">
        <v>54</v>
      </c>
      <c r="J46" s="1">
        <v>45518</v>
      </c>
      <c r="K46">
        <v>0.64</v>
      </c>
      <c r="L46">
        <v>11</v>
      </c>
      <c r="M46">
        <v>365</v>
      </c>
      <c r="N46">
        <v>0</v>
      </c>
      <c r="O46" t="str">
        <f t="shared" si="0"/>
        <v>0-100</v>
      </c>
    </row>
    <row r="47" spans="1:15" x14ac:dyDescent="0.35">
      <c r="A47" t="s">
        <v>103</v>
      </c>
      <c r="B47" t="s">
        <v>95</v>
      </c>
      <c r="C47" t="s">
        <v>84</v>
      </c>
      <c r="D47">
        <v>42.650849999999998</v>
      </c>
      <c r="E47">
        <v>-73.802390000000003</v>
      </c>
      <c r="F47" t="s">
        <v>31</v>
      </c>
      <c r="G47">
        <v>75</v>
      </c>
      <c r="H47">
        <v>1</v>
      </c>
      <c r="I47">
        <v>490</v>
      </c>
      <c r="J47" s="1">
        <v>46187</v>
      </c>
      <c r="K47">
        <v>5.95</v>
      </c>
      <c r="L47">
        <v>2</v>
      </c>
      <c r="M47">
        <v>236</v>
      </c>
      <c r="N47">
        <v>65</v>
      </c>
      <c r="O47" t="str">
        <f t="shared" si="0"/>
        <v>0-100</v>
      </c>
    </row>
    <row r="48" spans="1:15" x14ac:dyDescent="0.35">
      <c r="A48" t="s">
        <v>104</v>
      </c>
      <c r="B48" t="s">
        <v>105</v>
      </c>
      <c r="C48" t="s">
        <v>25</v>
      </c>
      <c r="D48">
        <v>42.655070000000002</v>
      </c>
      <c r="E48">
        <v>-73.761380000000003</v>
      </c>
      <c r="F48" t="s">
        <v>22</v>
      </c>
      <c r="G48">
        <v>230</v>
      </c>
      <c r="H48">
        <v>1</v>
      </c>
      <c r="I48">
        <v>57</v>
      </c>
      <c r="J48" s="1">
        <v>46131</v>
      </c>
      <c r="K48">
        <v>0.72</v>
      </c>
      <c r="L48">
        <v>4</v>
      </c>
      <c r="M48">
        <v>306</v>
      </c>
      <c r="N48">
        <v>11</v>
      </c>
      <c r="O48" t="str">
        <f t="shared" si="0"/>
        <v>201-300</v>
      </c>
    </row>
    <row r="49" spans="1:15" x14ac:dyDescent="0.35">
      <c r="A49" t="s">
        <v>106</v>
      </c>
      <c r="B49" t="s">
        <v>33</v>
      </c>
      <c r="C49" t="s">
        <v>51</v>
      </c>
      <c r="D49">
        <v>42.654829999999997</v>
      </c>
      <c r="E49">
        <v>-73.780330000000006</v>
      </c>
      <c r="F49" t="s">
        <v>22</v>
      </c>
      <c r="G49">
        <v>132</v>
      </c>
      <c r="H49">
        <v>5</v>
      </c>
      <c r="I49">
        <v>25</v>
      </c>
      <c r="J49" s="1">
        <v>46119</v>
      </c>
      <c r="K49">
        <v>0.31</v>
      </c>
      <c r="L49">
        <v>11</v>
      </c>
      <c r="M49">
        <v>269</v>
      </c>
      <c r="N49">
        <v>1</v>
      </c>
      <c r="O49" t="str">
        <f t="shared" si="0"/>
        <v>101-200</v>
      </c>
    </row>
    <row r="50" spans="1:15" x14ac:dyDescent="0.35">
      <c r="A50" t="s">
        <v>107</v>
      </c>
      <c r="B50" t="s">
        <v>108</v>
      </c>
      <c r="C50" t="s">
        <v>91</v>
      </c>
      <c r="D50">
        <v>42.660910000000001</v>
      </c>
      <c r="E50">
        <v>-73.742850000000004</v>
      </c>
      <c r="F50" t="s">
        <v>22</v>
      </c>
      <c r="G50">
        <v>303</v>
      </c>
      <c r="H50">
        <v>1</v>
      </c>
      <c r="I50">
        <v>247</v>
      </c>
      <c r="J50" s="1">
        <v>46138</v>
      </c>
      <c r="K50">
        <v>3.16</v>
      </c>
      <c r="L50">
        <v>1</v>
      </c>
      <c r="M50">
        <v>169</v>
      </c>
      <c r="N50">
        <v>9</v>
      </c>
      <c r="O50" t="str">
        <f t="shared" si="0"/>
        <v>301-500</v>
      </c>
    </row>
    <row r="51" spans="1:15" x14ac:dyDescent="0.35">
      <c r="A51" t="s">
        <v>109</v>
      </c>
      <c r="B51" t="s">
        <v>72</v>
      </c>
      <c r="C51" t="s">
        <v>68</v>
      </c>
      <c r="D51">
        <v>42.66827</v>
      </c>
      <c r="E51">
        <v>-73.792310000000001</v>
      </c>
      <c r="F51" t="s">
        <v>22</v>
      </c>
      <c r="G51">
        <v>137</v>
      </c>
      <c r="H51">
        <v>3</v>
      </c>
      <c r="I51">
        <v>147</v>
      </c>
      <c r="J51" s="1">
        <v>46159</v>
      </c>
      <c r="K51">
        <v>1.85</v>
      </c>
      <c r="L51">
        <v>9</v>
      </c>
      <c r="M51">
        <v>254</v>
      </c>
      <c r="N51">
        <v>16</v>
      </c>
      <c r="O51" t="str">
        <f t="shared" si="0"/>
        <v>101-200</v>
      </c>
    </row>
    <row r="52" spans="1:15" x14ac:dyDescent="0.35">
      <c r="A52" t="s">
        <v>110</v>
      </c>
      <c r="B52" t="s">
        <v>111</v>
      </c>
      <c r="C52" t="s">
        <v>91</v>
      </c>
      <c r="D52">
        <v>42.677729999999997</v>
      </c>
      <c r="E52">
        <v>-73.738990000000001</v>
      </c>
      <c r="F52" t="s">
        <v>22</v>
      </c>
      <c r="G52">
        <v>177</v>
      </c>
      <c r="H52">
        <v>1</v>
      </c>
      <c r="I52">
        <v>175</v>
      </c>
      <c r="J52" s="1">
        <v>46184</v>
      </c>
      <c r="K52">
        <v>2.2400000000000002</v>
      </c>
      <c r="L52">
        <v>1</v>
      </c>
      <c r="M52">
        <v>224</v>
      </c>
      <c r="N52">
        <v>2</v>
      </c>
      <c r="O52" t="str">
        <f t="shared" si="0"/>
        <v>101-200</v>
      </c>
    </row>
    <row r="53" spans="1:15" x14ac:dyDescent="0.35">
      <c r="A53" t="s">
        <v>112</v>
      </c>
      <c r="B53" t="s">
        <v>33</v>
      </c>
      <c r="C53" t="s">
        <v>25</v>
      </c>
      <c r="D53">
        <v>42.653149999999997</v>
      </c>
      <c r="E53">
        <v>-73.762020000000007</v>
      </c>
      <c r="F53" t="s">
        <v>22</v>
      </c>
      <c r="G53">
        <v>132</v>
      </c>
      <c r="H53">
        <v>7</v>
      </c>
      <c r="I53">
        <v>25</v>
      </c>
      <c r="J53" s="1">
        <v>45815</v>
      </c>
      <c r="K53">
        <v>0.32</v>
      </c>
      <c r="L53">
        <v>11</v>
      </c>
      <c r="M53">
        <v>360</v>
      </c>
      <c r="N53">
        <v>0</v>
      </c>
      <c r="O53" t="str">
        <f t="shared" si="0"/>
        <v>101-200</v>
      </c>
    </row>
    <row r="54" spans="1:15" x14ac:dyDescent="0.35">
      <c r="A54" t="s">
        <v>113</v>
      </c>
      <c r="B54" t="s">
        <v>114</v>
      </c>
      <c r="C54" t="s">
        <v>51</v>
      </c>
      <c r="D54">
        <v>42.655670000000001</v>
      </c>
      <c r="E54">
        <v>-73.785399999999996</v>
      </c>
      <c r="F54" t="s">
        <v>22</v>
      </c>
      <c r="G54">
        <v>78</v>
      </c>
      <c r="H54">
        <v>70</v>
      </c>
      <c r="I54">
        <v>0</v>
      </c>
      <c r="K54">
        <v>0</v>
      </c>
      <c r="L54">
        <v>1</v>
      </c>
      <c r="M54">
        <v>365</v>
      </c>
      <c r="N54">
        <v>0</v>
      </c>
      <c r="O54" t="str">
        <f t="shared" si="0"/>
        <v>0-100</v>
      </c>
    </row>
    <row r="55" spans="1:15" x14ac:dyDescent="0.35">
      <c r="A55" t="s">
        <v>115</v>
      </c>
      <c r="B55" t="s">
        <v>116</v>
      </c>
      <c r="C55" t="s">
        <v>117</v>
      </c>
      <c r="D55">
        <v>42.638759999999998</v>
      </c>
      <c r="E55">
        <v>-73.785349999999994</v>
      </c>
      <c r="F55" t="s">
        <v>22</v>
      </c>
      <c r="G55">
        <v>294</v>
      </c>
      <c r="H55">
        <v>1</v>
      </c>
      <c r="I55">
        <v>142</v>
      </c>
      <c r="J55" s="1">
        <v>46177</v>
      </c>
      <c r="K55">
        <v>1.9</v>
      </c>
      <c r="L55">
        <v>1</v>
      </c>
      <c r="M55">
        <v>140</v>
      </c>
      <c r="N55">
        <v>24</v>
      </c>
      <c r="O55" t="str">
        <f t="shared" si="0"/>
        <v>201-300</v>
      </c>
    </row>
    <row r="56" spans="1:15" x14ac:dyDescent="0.35">
      <c r="A56" t="s">
        <v>118</v>
      </c>
      <c r="B56" t="s">
        <v>119</v>
      </c>
      <c r="C56" t="s">
        <v>28</v>
      </c>
      <c r="D56">
        <v>42.644530000000003</v>
      </c>
      <c r="E56">
        <v>-73.754260000000002</v>
      </c>
      <c r="F56" t="s">
        <v>22</v>
      </c>
      <c r="G56">
        <v>293</v>
      </c>
      <c r="H56">
        <v>1</v>
      </c>
      <c r="I56">
        <v>134</v>
      </c>
      <c r="J56" s="1">
        <v>46180</v>
      </c>
      <c r="K56">
        <v>1.92</v>
      </c>
      <c r="L56">
        <v>3</v>
      </c>
      <c r="M56">
        <v>74</v>
      </c>
      <c r="N56">
        <v>19</v>
      </c>
      <c r="O56" t="str">
        <f t="shared" si="0"/>
        <v>201-300</v>
      </c>
    </row>
    <row r="57" spans="1:15" x14ac:dyDescent="0.35">
      <c r="A57" t="s">
        <v>120</v>
      </c>
      <c r="B57" t="s">
        <v>105</v>
      </c>
      <c r="C57" t="s">
        <v>25</v>
      </c>
      <c r="D57">
        <v>42.655560000000001</v>
      </c>
      <c r="E57">
        <v>-73.762050000000002</v>
      </c>
      <c r="F57" t="s">
        <v>22</v>
      </c>
      <c r="G57">
        <v>301</v>
      </c>
      <c r="H57">
        <v>1</v>
      </c>
      <c r="I57">
        <v>24</v>
      </c>
      <c r="J57" s="1">
        <v>46002</v>
      </c>
      <c r="K57">
        <v>0.37</v>
      </c>
      <c r="L57">
        <v>4</v>
      </c>
      <c r="M57">
        <v>365</v>
      </c>
      <c r="N57">
        <v>6</v>
      </c>
      <c r="O57" t="str">
        <f t="shared" si="0"/>
        <v>301-500</v>
      </c>
    </row>
    <row r="58" spans="1:15" x14ac:dyDescent="0.35">
      <c r="A58" t="s">
        <v>123</v>
      </c>
      <c r="B58" t="s">
        <v>95</v>
      </c>
      <c r="C58" t="s">
        <v>84</v>
      </c>
      <c r="D58">
        <v>42.643830000000001</v>
      </c>
      <c r="E58">
        <v>-73.789259999999999</v>
      </c>
      <c r="F58" t="s">
        <v>22</v>
      </c>
      <c r="G58">
        <v>371</v>
      </c>
      <c r="H58">
        <v>2</v>
      </c>
      <c r="I58">
        <v>92</v>
      </c>
      <c r="J58" s="1">
        <v>46159</v>
      </c>
      <c r="K58">
        <v>1.27</v>
      </c>
      <c r="L58">
        <v>14</v>
      </c>
      <c r="M58">
        <v>58</v>
      </c>
      <c r="N58">
        <v>1</v>
      </c>
      <c r="O58" t="str">
        <f t="shared" si="0"/>
        <v>301-500</v>
      </c>
    </row>
    <row r="59" spans="1:15" x14ac:dyDescent="0.35">
      <c r="A59" t="s">
        <v>124</v>
      </c>
      <c r="B59" t="s">
        <v>111</v>
      </c>
      <c r="C59" t="s">
        <v>25</v>
      </c>
      <c r="D59">
        <v>42.659350000000003</v>
      </c>
      <c r="E59">
        <v>-73.768050000000002</v>
      </c>
      <c r="F59" t="s">
        <v>22</v>
      </c>
      <c r="G59">
        <v>140</v>
      </c>
      <c r="H59">
        <v>1</v>
      </c>
      <c r="I59">
        <v>401</v>
      </c>
      <c r="J59" s="1">
        <v>46186</v>
      </c>
      <c r="K59">
        <v>5.57</v>
      </c>
      <c r="L59">
        <v>3</v>
      </c>
      <c r="M59">
        <v>306</v>
      </c>
      <c r="N59">
        <v>29</v>
      </c>
      <c r="O59" t="str">
        <f t="shared" si="0"/>
        <v>101-200</v>
      </c>
    </row>
    <row r="60" spans="1:15" x14ac:dyDescent="0.35">
      <c r="A60" t="s">
        <v>125</v>
      </c>
      <c r="B60" t="s">
        <v>111</v>
      </c>
      <c r="C60" t="s">
        <v>25</v>
      </c>
      <c r="D60">
        <v>42.660060000000001</v>
      </c>
      <c r="E60">
        <v>-73.769660000000002</v>
      </c>
      <c r="F60" t="s">
        <v>22</v>
      </c>
      <c r="G60">
        <v>159</v>
      </c>
      <c r="H60">
        <v>1</v>
      </c>
      <c r="I60">
        <v>330</v>
      </c>
      <c r="J60" s="1">
        <v>46179</v>
      </c>
      <c r="K60">
        <v>4.6100000000000003</v>
      </c>
      <c r="L60">
        <v>3</v>
      </c>
      <c r="M60">
        <v>320</v>
      </c>
      <c r="N60">
        <v>28</v>
      </c>
      <c r="O60" t="str">
        <f t="shared" si="0"/>
        <v>101-200</v>
      </c>
    </row>
    <row r="61" spans="1:15" x14ac:dyDescent="0.35">
      <c r="A61" t="s">
        <v>126</v>
      </c>
      <c r="B61" t="s">
        <v>127</v>
      </c>
      <c r="C61" t="s">
        <v>84</v>
      </c>
      <c r="D61">
        <v>42.64808</v>
      </c>
      <c r="E61">
        <v>-73.799599999999998</v>
      </c>
      <c r="F61" t="s">
        <v>22</v>
      </c>
      <c r="G61">
        <v>174</v>
      </c>
      <c r="H61">
        <v>13</v>
      </c>
      <c r="I61">
        <v>28</v>
      </c>
      <c r="J61" s="1">
        <v>46125</v>
      </c>
      <c r="K61">
        <v>0.4</v>
      </c>
      <c r="L61">
        <v>6</v>
      </c>
      <c r="M61">
        <v>242</v>
      </c>
      <c r="N61">
        <v>2</v>
      </c>
      <c r="O61" t="str">
        <f t="shared" si="0"/>
        <v>101-200</v>
      </c>
    </row>
    <row r="62" spans="1:15" x14ac:dyDescent="0.35">
      <c r="A62" t="s">
        <v>128</v>
      </c>
      <c r="B62" t="s">
        <v>129</v>
      </c>
      <c r="C62" t="s">
        <v>34</v>
      </c>
      <c r="D62">
        <v>42.661320000000003</v>
      </c>
      <c r="E62">
        <v>-73.795599999999993</v>
      </c>
      <c r="F62" t="s">
        <v>22</v>
      </c>
      <c r="G62">
        <v>168</v>
      </c>
      <c r="H62">
        <v>1</v>
      </c>
      <c r="I62">
        <v>134</v>
      </c>
      <c r="J62" s="1">
        <v>46180</v>
      </c>
      <c r="K62">
        <v>1.9</v>
      </c>
      <c r="L62">
        <v>1</v>
      </c>
      <c r="M62">
        <v>358</v>
      </c>
      <c r="N62">
        <v>5</v>
      </c>
      <c r="O62" t="str">
        <f t="shared" si="0"/>
        <v>101-200</v>
      </c>
    </row>
    <row r="63" spans="1:15" x14ac:dyDescent="0.35">
      <c r="A63" t="s">
        <v>130</v>
      </c>
      <c r="B63" t="s">
        <v>119</v>
      </c>
      <c r="C63" t="s">
        <v>28</v>
      </c>
      <c r="D63">
        <v>42.644539999999999</v>
      </c>
      <c r="E63">
        <v>-73.753690000000006</v>
      </c>
      <c r="F63" t="s">
        <v>22</v>
      </c>
      <c r="G63">
        <v>166</v>
      </c>
      <c r="H63">
        <v>1</v>
      </c>
      <c r="I63">
        <v>57</v>
      </c>
      <c r="J63" s="1">
        <v>46187</v>
      </c>
      <c r="K63">
        <v>0.99</v>
      </c>
      <c r="L63">
        <v>3</v>
      </c>
      <c r="M63">
        <v>73</v>
      </c>
      <c r="N63">
        <v>17</v>
      </c>
      <c r="O63" t="str">
        <f t="shared" si="0"/>
        <v>101-200</v>
      </c>
    </row>
    <row r="64" spans="1:15" x14ac:dyDescent="0.35">
      <c r="A64" t="s">
        <v>131</v>
      </c>
      <c r="B64" t="s">
        <v>132</v>
      </c>
      <c r="C64" t="s">
        <v>28</v>
      </c>
      <c r="D64">
        <v>42.648009999999999</v>
      </c>
      <c r="E64">
        <v>-73.756680000000003</v>
      </c>
      <c r="F64" t="s">
        <v>22</v>
      </c>
      <c r="G64">
        <v>217</v>
      </c>
      <c r="H64">
        <v>1</v>
      </c>
      <c r="I64">
        <v>102</v>
      </c>
      <c r="J64" s="1">
        <v>46124</v>
      </c>
      <c r="K64">
        <v>1.56</v>
      </c>
      <c r="L64">
        <v>16</v>
      </c>
      <c r="M64">
        <v>185</v>
      </c>
      <c r="N64">
        <v>3</v>
      </c>
      <c r="O64" t="str">
        <f t="shared" si="0"/>
        <v>201-300</v>
      </c>
    </row>
    <row r="65" spans="1:15" x14ac:dyDescent="0.35">
      <c r="A65" t="s">
        <v>133</v>
      </c>
      <c r="B65" t="s">
        <v>132</v>
      </c>
      <c r="C65" t="s">
        <v>28</v>
      </c>
      <c r="D65">
        <v>42.648209999999999</v>
      </c>
      <c r="E65">
        <v>-73.757930000000002</v>
      </c>
      <c r="F65" t="s">
        <v>22</v>
      </c>
      <c r="G65">
        <v>217</v>
      </c>
      <c r="H65">
        <v>1</v>
      </c>
      <c r="I65">
        <v>132</v>
      </c>
      <c r="J65" s="1">
        <v>46079</v>
      </c>
      <c r="K65">
        <v>2.0099999999999998</v>
      </c>
      <c r="L65">
        <v>16</v>
      </c>
      <c r="M65">
        <v>330</v>
      </c>
      <c r="N65">
        <v>9</v>
      </c>
      <c r="O65" t="str">
        <f t="shared" si="0"/>
        <v>201-300</v>
      </c>
    </row>
    <row r="66" spans="1:15" x14ac:dyDescent="0.35">
      <c r="A66" t="s">
        <v>134</v>
      </c>
      <c r="B66" t="s">
        <v>132</v>
      </c>
      <c r="C66" t="s">
        <v>28</v>
      </c>
      <c r="D66">
        <v>42.647129999999997</v>
      </c>
      <c r="E66">
        <v>-73.756280000000004</v>
      </c>
      <c r="F66" t="s">
        <v>22</v>
      </c>
      <c r="G66">
        <v>234</v>
      </c>
      <c r="H66">
        <v>1</v>
      </c>
      <c r="I66">
        <v>155</v>
      </c>
      <c r="J66" s="1">
        <v>46150</v>
      </c>
      <c r="K66">
        <v>2.37</v>
      </c>
      <c r="L66">
        <v>16</v>
      </c>
      <c r="M66">
        <v>183</v>
      </c>
      <c r="N66">
        <v>9</v>
      </c>
      <c r="O66" t="str">
        <f t="shared" ref="O66:O129" si="1">IF(G66&lt;=100,"0-100",
IF(G66&lt;=200,"101-200",
IF(G66&lt;=300,"201-300",
IF(G66&lt;=500,"301-500","500+"))))</f>
        <v>201-300</v>
      </c>
    </row>
    <row r="67" spans="1:15" x14ac:dyDescent="0.35">
      <c r="A67" t="s">
        <v>135</v>
      </c>
      <c r="B67" t="s">
        <v>136</v>
      </c>
      <c r="C67" t="s">
        <v>51</v>
      </c>
      <c r="D67">
        <v>42.653109999999998</v>
      </c>
      <c r="E67">
        <v>-73.785250000000005</v>
      </c>
      <c r="F67" t="s">
        <v>22</v>
      </c>
      <c r="G67">
        <v>331</v>
      </c>
      <c r="H67">
        <v>1</v>
      </c>
      <c r="I67">
        <v>280</v>
      </c>
      <c r="J67" s="1">
        <v>46159</v>
      </c>
      <c r="K67">
        <v>4.29</v>
      </c>
      <c r="L67">
        <v>1</v>
      </c>
      <c r="M67">
        <v>234</v>
      </c>
      <c r="N67">
        <v>22</v>
      </c>
      <c r="O67" t="str">
        <f t="shared" si="1"/>
        <v>301-500</v>
      </c>
    </row>
    <row r="68" spans="1:15" x14ac:dyDescent="0.35">
      <c r="A68" t="s">
        <v>137</v>
      </c>
      <c r="B68" t="s">
        <v>72</v>
      </c>
      <c r="C68" t="s">
        <v>68</v>
      </c>
      <c r="D68">
        <v>42.666460000000001</v>
      </c>
      <c r="E68">
        <v>-73.791839999999993</v>
      </c>
      <c r="F68" t="s">
        <v>22</v>
      </c>
      <c r="G68">
        <v>134</v>
      </c>
      <c r="H68">
        <v>3</v>
      </c>
      <c r="I68">
        <v>121</v>
      </c>
      <c r="J68" s="1">
        <v>46163</v>
      </c>
      <c r="K68">
        <v>1.85</v>
      </c>
      <c r="L68">
        <v>9</v>
      </c>
      <c r="M68">
        <v>243</v>
      </c>
      <c r="N68">
        <v>25</v>
      </c>
      <c r="O68" t="str">
        <f t="shared" si="1"/>
        <v>101-200</v>
      </c>
    </row>
    <row r="69" spans="1:15" x14ac:dyDescent="0.35">
      <c r="A69" t="s">
        <v>138</v>
      </c>
      <c r="B69" t="s">
        <v>24</v>
      </c>
      <c r="C69" t="s">
        <v>25</v>
      </c>
      <c r="D69">
        <v>42.653449999999999</v>
      </c>
      <c r="E69">
        <v>-73.766630000000006</v>
      </c>
      <c r="F69" t="s">
        <v>22</v>
      </c>
      <c r="G69">
        <v>180</v>
      </c>
      <c r="H69">
        <v>1</v>
      </c>
      <c r="I69">
        <v>116</v>
      </c>
      <c r="J69" s="1">
        <v>46178</v>
      </c>
      <c r="K69">
        <v>1.78</v>
      </c>
      <c r="L69">
        <v>7</v>
      </c>
      <c r="M69">
        <v>335</v>
      </c>
      <c r="N69">
        <v>51</v>
      </c>
      <c r="O69" t="str">
        <f t="shared" si="1"/>
        <v>101-200</v>
      </c>
    </row>
    <row r="70" spans="1:15" x14ac:dyDescent="0.35">
      <c r="A70" t="s">
        <v>139</v>
      </c>
      <c r="B70" t="s">
        <v>72</v>
      </c>
      <c r="C70" t="s">
        <v>34</v>
      </c>
      <c r="D70">
        <v>42.671559999999999</v>
      </c>
      <c r="E70">
        <v>-73.80883</v>
      </c>
      <c r="F70" t="s">
        <v>22</v>
      </c>
      <c r="G70">
        <v>122</v>
      </c>
      <c r="H70">
        <v>3</v>
      </c>
      <c r="I70">
        <v>85</v>
      </c>
      <c r="J70" s="1">
        <v>46166</v>
      </c>
      <c r="K70">
        <v>1.31</v>
      </c>
      <c r="L70">
        <v>9</v>
      </c>
      <c r="M70">
        <v>335</v>
      </c>
      <c r="N70">
        <v>14</v>
      </c>
      <c r="O70" t="str">
        <f t="shared" si="1"/>
        <v>101-200</v>
      </c>
    </row>
    <row r="71" spans="1:15" x14ac:dyDescent="0.35">
      <c r="A71" t="s">
        <v>140</v>
      </c>
      <c r="B71" t="s">
        <v>141</v>
      </c>
      <c r="C71" t="s">
        <v>68</v>
      </c>
      <c r="D71">
        <v>42.669199999999996</v>
      </c>
      <c r="E71">
        <v>-73.798490000000001</v>
      </c>
      <c r="F71" t="s">
        <v>31</v>
      </c>
      <c r="G71">
        <v>150</v>
      </c>
      <c r="H71">
        <v>1</v>
      </c>
      <c r="I71">
        <v>216</v>
      </c>
      <c r="J71" s="1">
        <v>46156</v>
      </c>
      <c r="K71">
        <v>3.27</v>
      </c>
      <c r="L71">
        <v>12</v>
      </c>
      <c r="M71">
        <v>2</v>
      </c>
      <c r="N71">
        <v>43</v>
      </c>
      <c r="O71" t="str">
        <f t="shared" si="1"/>
        <v>101-200</v>
      </c>
    </row>
    <row r="72" spans="1:15" x14ac:dyDescent="0.35">
      <c r="A72" t="s">
        <v>142</v>
      </c>
      <c r="B72" t="s">
        <v>105</v>
      </c>
      <c r="C72" t="s">
        <v>21</v>
      </c>
      <c r="D72">
        <v>42.655999999999999</v>
      </c>
      <c r="E72">
        <v>-73.761229999999998</v>
      </c>
      <c r="F72" t="s">
        <v>22</v>
      </c>
      <c r="G72">
        <v>198</v>
      </c>
      <c r="H72">
        <v>1</v>
      </c>
      <c r="I72">
        <v>29</v>
      </c>
      <c r="J72" s="1">
        <v>46079</v>
      </c>
      <c r="K72">
        <v>0.44</v>
      </c>
      <c r="L72">
        <v>4</v>
      </c>
      <c r="M72">
        <v>205</v>
      </c>
      <c r="N72">
        <v>8</v>
      </c>
      <c r="O72" t="str">
        <f t="shared" si="1"/>
        <v>101-200</v>
      </c>
    </row>
    <row r="73" spans="1:15" x14ac:dyDescent="0.35">
      <c r="A73" t="s">
        <v>143</v>
      </c>
      <c r="B73" t="s">
        <v>144</v>
      </c>
      <c r="C73" t="s">
        <v>21</v>
      </c>
      <c r="D73">
        <v>42.651179999999997</v>
      </c>
      <c r="E73">
        <v>-73.752740000000003</v>
      </c>
      <c r="F73" t="s">
        <v>22</v>
      </c>
      <c r="G73">
        <v>218</v>
      </c>
      <c r="H73">
        <v>1</v>
      </c>
      <c r="I73">
        <v>190</v>
      </c>
      <c r="J73" s="1">
        <v>46155</v>
      </c>
      <c r="K73">
        <v>2.92</v>
      </c>
      <c r="L73">
        <v>2</v>
      </c>
      <c r="M73">
        <v>248</v>
      </c>
      <c r="N73">
        <v>20</v>
      </c>
      <c r="O73" t="str">
        <f t="shared" si="1"/>
        <v>201-300</v>
      </c>
    </row>
    <row r="74" spans="1:15" x14ac:dyDescent="0.35">
      <c r="A74" t="s">
        <v>145</v>
      </c>
      <c r="B74" t="s">
        <v>122</v>
      </c>
      <c r="C74" t="s">
        <v>47</v>
      </c>
      <c r="D74">
        <v>42.662610000000001</v>
      </c>
      <c r="E74">
        <v>-73.783320000000003</v>
      </c>
      <c r="F74" t="s">
        <v>22</v>
      </c>
      <c r="G74">
        <v>265</v>
      </c>
      <c r="H74">
        <v>1</v>
      </c>
      <c r="I74">
        <v>175</v>
      </c>
      <c r="J74" s="1">
        <v>46158</v>
      </c>
      <c r="K74">
        <v>2.69</v>
      </c>
      <c r="L74">
        <v>21</v>
      </c>
      <c r="M74">
        <v>331</v>
      </c>
      <c r="N74">
        <v>8</v>
      </c>
      <c r="O74" t="str">
        <f t="shared" si="1"/>
        <v>201-300</v>
      </c>
    </row>
    <row r="75" spans="1:15" x14ac:dyDescent="0.35">
      <c r="A75" t="s">
        <v>146</v>
      </c>
      <c r="B75" t="s">
        <v>144</v>
      </c>
      <c r="C75" t="s">
        <v>21</v>
      </c>
      <c r="D75">
        <v>42.649819999999998</v>
      </c>
      <c r="E75">
        <v>-73.750900000000001</v>
      </c>
      <c r="F75" t="s">
        <v>22</v>
      </c>
      <c r="G75">
        <v>276</v>
      </c>
      <c r="H75">
        <v>1</v>
      </c>
      <c r="I75">
        <v>257</v>
      </c>
      <c r="J75" s="1">
        <v>46163</v>
      </c>
      <c r="K75">
        <v>4.3499999999999996</v>
      </c>
      <c r="L75">
        <v>2</v>
      </c>
      <c r="M75">
        <v>162</v>
      </c>
      <c r="N75">
        <v>26</v>
      </c>
      <c r="O75" t="str">
        <f t="shared" si="1"/>
        <v>201-300</v>
      </c>
    </row>
    <row r="76" spans="1:15" x14ac:dyDescent="0.35">
      <c r="A76" t="s">
        <v>147</v>
      </c>
      <c r="B76" t="s">
        <v>66</v>
      </c>
      <c r="C76" t="s">
        <v>51</v>
      </c>
      <c r="D76">
        <v>42.65399</v>
      </c>
      <c r="E76">
        <v>-73.781260000000003</v>
      </c>
      <c r="F76" t="s">
        <v>31</v>
      </c>
      <c r="G76">
        <v>86</v>
      </c>
      <c r="H76">
        <v>2</v>
      </c>
      <c r="I76">
        <v>92</v>
      </c>
      <c r="J76" s="1">
        <v>46179</v>
      </c>
      <c r="K76">
        <v>1.43</v>
      </c>
      <c r="L76">
        <v>8</v>
      </c>
      <c r="M76">
        <v>265</v>
      </c>
      <c r="N76">
        <v>14</v>
      </c>
      <c r="O76" t="str">
        <f t="shared" si="1"/>
        <v>0-100</v>
      </c>
    </row>
    <row r="77" spans="1:15" x14ac:dyDescent="0.35">
      <c r="A77" t="s">
        <v>148</v>
      </c>
      <c r="B77" t="s">
        <v>36</v>
      </c>
      <c r="C77" t="s">
        <v>68</v>
      </c>
      <c r="D77">
        <v>42.665264129638601</v>
      </c>
      <c r="E77">
        <v>-73.786926269531193</v>
      </c>
      <c r="F77" t="s">
        <v>22</v>
      </c>
      <c r="G77">
        <v>1041</v>
      </c>
      <c r="H77">
        <v>1</v>
      </c>
      <c r="I77">
        <v>67</v>
      </c>
      <c r="J77" s="1">
        <v>46166</v>
      </c>
      <c r="K77">
        <v>1.41</v>
      </c>
      <c r="L77">
        <v>8</v>
      </c>
      <c r="M77">
        <v>339</v>
      </c>
      <c r="N77">
        <v>22</v>
      </c>
      <c r="O77" t="str">
        <f t="shared" si="1"/>
        <v>500+</v>
      </c>
    </row>
    <row r="78" spans="1:15" x14ac:dyDescent="0.35">
      <c r="A78" t="s">
        <v>149</v>
      </c>
      <c r="B78" t="s">
        <v>150</v>
      </c>
      <c r="C78" t="s">
        <v>25</v>
      </c>
      <c r="D78">
        <v>42.654290000000003</v>
      </c>
      <c r="E78">
        <v>-73.759860000000003</v>
      </c>
      <c r="F78" t="s">
        <v>22</v>
      </c>
      <c r="G78">
        <v>149</v>
      </c>
      <c r="H78">
        <v>2</v>
      </c>
      <c r="I78">
        <v>109</v>
      </c>
      <c r="J78" s="1">
        <v>46160</v>
      </c>
      <c r="K78">
        <v>1.85</v>
      </c>
      <c r="L78">
        <v>3</v>
      </c>
      <c r="M78">
        <v>146</v>
      </c>
      <c r="N78">
        <v>6</v>
      </c>
      <c r="O78" t="str">
        <f t="shared" si="1"/>
        <v>101-200</v>
      </c>
    </row>
    <row r="79" spans="1:15" x14ac:dyDescent="0.35">
      <c r="A79" t="s">
        <v>151</v>
      </c>
      <c r="B79" t="s">
        <v>152</v>
      </c>
      <c r="C79" t="s">
        <v>25</v>
      </c>
      <c r="D79">
        <v>42.65157</v>
      </c>
      <c r="E79">
        <v>-73.765460000000004</v>
      </c>
      <c r="F79" t="s">
        <v>22</v>
      </c>
      <c r="G79">
        <v>127</v>
      </c>
      <c r="H79">
        <v>2</v>
      </c>
      <c r="I79">
        <v>221</v>
      </c>
      <c r="J79" s="1">
        <v>46153</v>
      </c>
      <c r="K79">
        <v>3.75</v>
      </c>
      <c r="L79">
        <v>1</v>
      </c>
      <c r="M79">
        <v>88</v>
      </c>
      <c r="N79">
        <v>30</v>
      </c>
      <c r="O79" t="str">
        <f t="shared" si="1"/>
        <v>101-200</v>
      </c>
    </row>
    <row r="80" spans="1:15" x14ac:dyDescent="0.35">
      <c r="A80" t="s">
        <v>153</v>
      </c>
      <c r="B80" t="s">
        <v>132</v>
      </c>
      <c r="C80" t="s">
        <v>91</v>
      </c>
      <c r="D80">
        <v>42.658880000000003</v>
      </c>
      <c r="E80">
        <v>-73.746729999999999</v>
      </c>
      <c r="F80" t="s">
        <v>22</v>
      </c>
      <c r="G80">
        <v>215</v>
      </c>
      <c r="H80">
        <v>1</v>
      </c>
      <c r="I80">
        <v>105</v>
      </c>
      <c r="J80" s="1">
        <v>46151</v>
      </c>
      <c r="K80">
        <v>1.72</v>
      </c>
      <c r="L80">
        <v>16</v>
      </c>
      <c r="M80">
        <v>185</v>
      </c>
      <c r="N80">
        <v>16</v>
      </c>
      <c r="O80" t="str">
        <f t="shared" si="1"/>
        <v>201-300</v>
      </c>
    </row>
    <row r="81" spans="1:15" x14ac:dyDescent="0.35">
      <c r="A81" t="s">
        <v>154</v>
      </c>
      <c r="B81" t="s">
        <v>155</v>
      </c>
      <c r="C81" t="s">
        <v>40</v>
      </c>
      <c r="D81">
        <v>42.660339999999998</v>
      </c>
      <c r="E81">
        <v>-73.771630000000002</v>
      </c>
      <c r="F81" t="s">
        <v>22</v>
      </c>
      <c r="G81">
        <v>189</v>
      </c>
      <c r="H81">
        <v>2</v>
      </c>
      <c r="I81">
        <v>201</v>
      </c>
      <c r="J81" s="1">
        <v>46161</v>
      </c>
      <c r="K81">
        <v>3.7</v>
      </c>
      <c r="L81">
        <v>1</v>
      </c>
      <c r="M81">
        <v>318</v>
      </c>
      <c r="N81">
        <v>16</v>
      </c>
      <c r="O81" t="str">
        <f t="shared" si="1"/>
        <v>101-200</v>
      </c>
    </row>
    <row r="82" spans="1:15" x14ac:dyDescent="0.35">
      <c r="A82" t="s">
        <v>156</v>
      </c>
      <c r="B82" t="s">
        <v>33</v>
      </c>
      <c r="C82" t="s">
        <v>25</v>
      </c>
      <c r="D82">
        <v>42.653329999999997</v>
      </c>
      <c r="E82">
        <v>-73.764020000000002</v>
      </c>
      <c r="F82" t="s">
        <v>22</v>
      </c>
      <c r="G82">
        <v>207</v>
      </c>
      <c r="H82">
        <v>3</v>
      </c>
      <c r="I82">
        <v>20</v>
      </c>
      <c r="J82" s="1">
        <v>45935</v>
      </c>
      <c r="K82">
        <v>0.33</v>
      </c>
      <c r="L82">
        <v>11</v>
      </c>
      <c r="M82">
        <v>362</v>
      </c>
      <c r="N82">
        <v>4</v>
      </c>
      <c r="O82" t="str">
        <f t="shared" si="1"/>
        <v>201-300</v>
      </c>
    </row>
    <row r="83" spans="1:15" x14ac:dyDescent="0.35">
      <c r="A83" t="s">
        <v>157</v>
      </c>
      <c r="B83" t="s">
        <v>158</v>
      </c>
      <c r="C83" t="s">
        <v>37</v>
      </c>
      <c r="D83">
        <v>42.679450000000003</v>
      </c>
      <c r="E83">
        <v>-73.816469999999995</v>
      </c>
      <c r="F83" t="s">
        <v>31</v>
      </c>
      <c r="G83">
        <v>96</v>
      </c>
      <c r="H83">
        <v>3</v>
      </c>
      <c r="I83">
        <v>46</v>
      </c>
      <c r="J83" s="1">
        <v>45879</v>
      </c>
      <c r="K83">
        <v>0.8</v>
      </c>
      <c r="L83">
        <v>1</v>
      </c>
      <c r="M83">
        <v>119</v>
      </c>
      <c r="N83">
        <v>1</v>
      </c>
      <c r="O83" t="str">
        <f t="shared" si="1"/>
        <v>0-100</v>
      </c>
    </row>
    <row r="84" spans="1:15" x14ac:dyDescent="0.35">
      <c r="A84" t="s">
        <v>159</v>
      </c>
      <c r="B84" t="s">
        <v>132</v>
      </c>
      <c r="C84" t="s">
        <v>91</v>
      </c>
      <c r="D84">
        <v>42.659010000000002</v>
      </c>
      <c r="E84">
        <v>-73.747479999999996</v>
      </c>
      <c r="F84" t="s">
        <v>22</v>
      </c>
      <c r="G84">
        <v>217</v>
      </c>
      <c r="H84">
        <v>1</v>
      </c>
      <c r="I84">
        <v>47</v>
      </c>
      <c r="J84" s="1">
        <v>46041</v>
      </c>
      <c r="K84">
        <v>0.79</v>
      </c>
      <c r="L84">
        <v>16</v>
      </c>
      <c r="M84">
        <v>194</v>
      </c>
      <c r="N84">
        <v>2</v>
      </c>
      <c r="O84" t="str">
        <f t="shared" si="1"/>
        <v>201-300</v>
      </c>
    </row>
    <row r="85" spans="1:15" x14ac:dyDescent="0.35">
      <c r="A85" t="s">
        <v>160</v>
      </c>
      <c r="B85" t="s">
        <v>161</v>
      </c>
      <c r="C85" t="s">
        <v>21</v>
      </c>
      <c r="D85">
        <v>42.660640000000001</v>
      </c>
      <c r="E85">
        <v>-73.760739999999998</v>
      </c>
      <c r="F85" t="s">
        <v>22</v>
      </c>
      <c r="G85">
        <v>112</v>
      </c>
      <c r="H85">
        <v>1</v>
      </c>
      <c r="I85">
        <v>278</v>
      </c>
      <c r="J85" s="1">
        <v>45974</v>
      </c>
      <c r="K85">
        <v>4.6500000000000004</v>
      </c>
      <c r="L85">
        <v>1</v>
      </c>
      <c r="M85">
        <v>125</v>
      </c>
      <c r="N85">
        <v>23</v>
      </c>
      <c r="O85" t="str">
        <f t="shared" si="1"/>
        <v>101-200</v>
      </c>
    </row>
    <row r="86" spans="1:15" x14ac:dyDescent="0.35">
      <c r="A86" t="s">
        <v>162</v>
      </c>
      <c r="B86" t="s">
        <v>163</v>
      </c>
      <c r="C86" t="s">
        <v>47</v>
      </c>
      <c r="D86">
        <v>42.659689999999998</v>
      </c>
      <c r="E86">
        <v>-73.775639999999996</v>
      </c>
      <c r="F86" t="s">
        <v>22</v>
      </c>
      <c r="G86">
        <v>126</v>
      </c>
      <c r="H86">
        <v>1</v>
      </c>
      <c r="I86">
        <v>32</v>
      </c>
      <c r="J86" s="1">
        <v>46112</v>
      </c>
      <c r="K86">
        <v>0.56999999999999995</v>
      </c>
      <c r="L86">
        <v>1</v>
      </c>
      <c r="M86">
        <v>146</v>
      </c>
      <c r="N86">
        <v>3</v>
      </c>
      <c r="O86" t="str">
        <f t="shared" si="1"/>
        <v>101-200</v>
      </c>
    </row>
    <row r="87" spans="1:15" x14ac:dyDescent="0.35">
      <c r="A87" t="s">
        <v>164</v>
      </c>
      <c r="B87" t="s">
        <v>132</v>
      </c>
      <c r="C87" t="s">
        <v>91</v>
      </c>
      <c r="D87">
        <v>42.658560000000001</v>
      </c>
      <c r="E87">
        <v>-73.748660000000001</v>
      </c>
      <c r="F87" t="s">
        <v>22</v>
      </c>
      <c r="G87">
        <v>166</v>
      </c>
      <c r="H87">
        <v>1</v>
      </c>
      <c r="I87">
        <v>89</v>
      </c>
      <c r="J87" s="1">
        <v>46159</v>
      </c>
      <c r="K87">
        <v>1.51</v>
      </c>
      <c r="L87">
        <v>16</v>
      </c>
      <c r="M87">
        <v>131</v>
      </c>
      <c r="N87">
        <v>10</v>
      </c>
      <c r="O87" t="str">
        <f t="shared" si="1"/>
        <v>101-200</v>
      </c>
    </row>
    <row r="88" spans="1:15" x14ac:dyDescent="0.35">
      <c r="A88" t="s">
        <v>165</v>
      </c>
      <c r="B88" t="s">
        <v>166</v>
      </c>
      <c r="C88" t="s">
        <v>21</v>
      </c>
      <c r="D88">
        <v>42.658439999999999</v>
      </c>
      <c r="E88">
        <v>-73.749780000000001</v>
      </c>
      <c r="F88" t="s">
        <v>22</v>
      </c>
      <c r="G88">
        <v>162</v>
      </c>
      <c r="H88">
        <v>2</v>
      </c>
      <c r="I88">
        <v>98</v>
      </c>
      <c r="J88" s="1">
        <v>46159</v>
      </c>
      <c r="K88">
        <v>1.72</v>
      </c>
      <c r="L88">
        <v>3</v>
      </c>
      <c r="M88">
        <v>360</v>
      </c>
      <c r="N88">
        <v>8</v>
      </c>
      <c r="O88" t="str">
        <f t="shared" si="1"/>
        <v>101-200</v>
      </c>
    </row>
    <row r="89" spans="1:15" x14ac:dyDescent="0.35">
      <c r="A89" t="s">
        <v>167</v>
      </c>
      <c r="B89" t="s">
        <v>72</v>
      </c>
      <c r="C89" t="s">
        <v>117</v>
      </c>
      <c r="D89">
        <v>42.630659999999999</v>
      </c>
      <c r="E89">
        <v>-73.773570000000007</v>
      </c>
      <c r="F89" t="s">
        <v>22</v>
      </c>
      <c r="G89">
        <v>196</v>
      </c>
      <c r="H89">
        <v>3</v>
      </c>
      <c r="I89">
        <v>93</v>
      </c>
      <c r="J89" s="1">
        <v>46168</v>
      </c>
      <c r="K89">
        <v>1.62</v>
      </c>
      <c r="L89">
        <v>9</v>
      </c>
      <c r="M89">
        <v>135</v>
      </c>
      <c r="N89">
        <v>20</v>
      </c>
      <c r="O89" t="str">
        <f t="shared" si="1"/>
        <v>101-200</v>
      </c>
    </row>
    <row r="90" spans="1:15" x14ac:dyDescent="0.35">
      <c r="A90" t="s">
        <v>168</v>
      </c>
      <c r="B90" t="s">
        <v>169</v>
      </c>
      <c r="C90" t="s">
        <v>25</v>
      </c>
      <c r="D90">
        <v>42.656410000000001</v>
      </c>
      <c r="E90">
        <v>-73.764129999999994</v>
      </c>
      <c r="F90" t="s">
        <v>22</v>
      </c>
      <c r="G90">
        <v>118</v>
      </c>
      <c r="H90">
        <v>1</v>
      </c>
      <c r="I90">
        <v>401</v>
      </c>
      <c r="J90" s="1">
        <v>46173</v>
      </c>
      <c r="K90">
        <v>7.06</v>
      </c>
      <c r="L90">
        <v>1</v>
      </c>
      <c r="M90">
        <v>59</v>
      </c>
      <c r="N90">
        <v>75</v>
      </c>
      <c r="O90" t="str">
        <f t="shared" si="1"/>
        <v>101-200</v>
      </c>
    </row>
    <row r="91" spans="1:15" x14ac:dyDescent="0.35">
      <c r="A91" t="s">
        <v>170</v>
      </c>
      <c r="B91" t="s">
        <v>150</v>
      </c>
      <c r="C91" t="s">
        <v>25</v>
      </c>
      <c r="D91">
        <v>42.653860000000002</v>
      </c>
      <c r="E91">
        <v>-73.75958</v>
      </c>
      <c r="F91" t="s">
        <v>22</v>
      </c>
      <c r="G91">
        <v>149</v>
      </c>
      <c r="H91">
        <v>2</v>
      </c>
      <c r="I91">
        <v>81</v>
      </c>
      <c r="J91" s="1">
        <v>46158</v>
      </c>
      <c r="K91">
        <v>1.41</v>
      </c>
      <c r="L91">
        <v>3</v>
      </c>
      <c r="M91">
        <v>353</v>
      </c>
      <c r="N91">
        <v>5</v>
      </c>
      <c r="O91" t="str">
        <f t="shared" si="1"/>
        <v>101-200</v>
      </c>
    </row>
    <row r="92" spans="1:15" x14ac:dyDescent="0.35">
      <c r="A92" t="s">
        <v>171</v>
      </c>
      <c r="B92" t="s">
        <v>95</v>
      </c>
      <c r="C92" t="s">
        <v>51</v>
      </c>
      <c r="D92">
        <v>42.656739999999999</v>
      </c>
      <c r="E92">
        <v>-73.792209999999997</v>
      </c>
      <c r="F92" t="s">
        <v>22</v>
      </c>
      <c r="G92">
        <v>268</v>
      </c>
      <c r="H92">
        <v>2</v>
      </c>
      <c r="I92">
        <v>158</v>
      </c>
      <c r="J92" s="1">
        <v>46159</v>
      </c>
      <c r="K92">
        <v>2.78</v>
      </c>
      <c r="L92">
        <v>14</v>
      </c>
      <c r="M92">
        <v>243</v>
      </c>
      <c r="N92">
        <v>20</v>
      </c>
      <c r="O92" t="str">
        <f t="shared" si="1"/>
        <v>201-300</v>
      </c>
    </row>
    <row r="93" spans="1:15" x14ac:dyDescent="0.35">
      <c r="A93" t="s">
        <v>172</v>
      </c>
      <c r="B93" t="s">
        <v>95</v>
      </c>
      <c r="C93" t="s">
        <v>47</v>
      </c>
      <c r="D93">
        <v>42.66236</v>
      </c>
      <c r="E93">
        <v>-73.792450000000002</v>
      </c>
      <c r="F93" t="s">
        <v>22</v>
      </c>
      <c r="G93">
        <v>819</v>
      </c>
      <c r="H93">
        <v>1</v>
      </c>
      <c r="I93">
        <v>113</v>
      </c>
      <c r="J93" s="1">
        <v>46173</v>
      </c>
      <c r="K93">
        <v>1.99</v>
      </c>
      <c r="L93">
        <v>14</v>
      </c>
      <c r="M93">
        <v>236</v>
      </c>
      <c r="N93">
        <v>23</v>
      </c>
      <c r="O93" t="str">
        <f t="shared" si="1"/>
        <v>500+</v>
      </c>
    </row>
    <row r="94" spans="1:15" x14ac:dyDescent="0.35">
      <c r="A94" t="s">
        <v>173</v>
      </c>
      <c r="B94" t="s">
        <v>132</v>
      </c>
      <c r="C94" t="s">
        <v>91</v>
      </c>
      <c r="D94">
        <v>42.658119999999997</v>
      </c>
      <c r="E94">
        <v>-73.748369999999994</v>
      </c>
      <c r="F94" t="s">
        <v>22</v>
      </c>
      <c r="G94">
        <v>217</v>
      </c>
      <c r="H94">
        <v>1</v>
      </c>
      <c r="I94">
        <v>88</v>
      </c>
      <c r="J94" s="1">
        <v>45950</v>
      </c>
      <c r="K94">
        <v>1.56</v>
      </c>
      <c r="L94">
        <v>16</v>
      </c>
      <c r="M94">
        <v>196</v>
      </c>
      <c r="N94">
        <v>12</v>
      </c>
      <c r="O94" t="str">
        <f t="shared" si="1"/>
        <v>201-300</v>
      </c>
    </row>
    <row r="95" spans="1:15" x14ac:dyDescent="0.35">
      <c r="A95" t="s">
        <v>174</v>
      </c>
      <c r="B95" t="s">
        <v>111</v>
      </c>
      <c r="C95" t="s">
        <v>25</v>
      </c>
      <c r="D95">
        <v>42.658259999999999</v>
      </c>
      <c r="E95">
        <v>-73.769440000000003</v>
      </c>
      <c r="F95" t="s">
        <v>22</v>
      </c>
      <c r="G95">
        <v>154</v>
      </c>
      <c r="H95">
        <v>1</v>
      </c>
      <c r="I95">
        <v>283</v>
      </c>
      <c r="J95" s="1">
        <v>46186</v>
      </c>
      <c r="K95">
        <v>5.01</v>
      </c>
      <c r="L95">
        <v>3</v>
      </c>
      <c r="M95">
        <v>327</v>
      </c>
      <c r="N95">
        <v>75</v>
      </c>
      <c r="O95" t="str">
        <f t="shared" si="1"/>
        <v>101-200</v>
      </c>
    </row>
    <row r="96" spans="1:15" x14ac:dyDescent="0.35">
      <c r="A96" t="s">
        <v>175</v>
      </c>
      <c r="B96" t="s">
        <v>176</v>
      </c>
      <c r="C96" t="s">
        <v>34</v>
      </c>
      <c r="D96">
        <v>42.658239999999999</v>
      </c>
      <c r="E96">
        <v>-73.801140000000004</v>
      </c>
      <c r="F96" t="s">
        <v>22</v>
      </c>
      <c r="G96">
        <v>315</v>
      </c>
      <c r="H96">
        <v>1</v>
      </c>
      <c r="I96">
        <v>188</v>
      </c>
      <c r="J96" s="1">
        <v>46187</v>
      </c>
      <c r="K96">
        <v>3.47</v>
      </c>
      <c r="L96">
        <v>4</v>
      </c>
      <c r="M96">
        <v>230</v>
      </c>
      <c r="N96">
        <v>30</v>
      </c>
      <c r="O96" t="str">
        <f t="shared" si="1"/>
        <v>301-500</v>
      </c>
    </row>
    <row r="97" spans="1:15" x14ac:dyDescent="0.35">
      <c r="A97" t="s">
        <v>177</v>
      </c>
      <c r="B97" t="s">
        <v>176</v>
      </c>
      <c r="C97" t="s">
        <v>25</v>
      </c>
      <c r="D97">
        <v>42.65204</v>
      </c>
      <c r="E97">
        <v>-73.766549999999995</v>
      </c>
      <c r="F97" t="s">
        <v>22</v>
      </c>
      <c r="G97">
        <v>177</v>
      </c>
      <c r="H97">
        <v>1</v>
      </c>
      <c r="I97">
        <v>308</v>
      </c>
      <c r="J97" s="1">
        <v>46180</v>
      </c>
      <c r="K97">
        <v>5.61</v>
      </c>
      <c r="L97">
        <v>4</v>
      </c>
      <c r="M97">
        <v>89</v>
      </c>
      <c r="N97">
        <v>39</v>
      </c>
      <c r="O97" t="str">
        <f t="shared" si="1"/>
        <v>101-200</v>
      </c>
    </row>
    <row r="98" spans="1:15" x14ac:dyDescent="0.35">
      <c r="A98" t="s">
        <v>178</v>
      </c>
      <c r="B98" t="s">
        <v>132</v>
      </c>
      <c r="C98" t="s">
        <v>91</v>
      </c>
      <c r="D98">
        <v>42.659129999999998</v>
      </c>
      <c r="E98">
        <v>-73.747219999999999</v>
      </c>
      <c r="F98" t="s">
        <v>22</v>
      </c>
      <c r="G98">
        <v>269</v>
      </c>
      <c r="H98">
        <v>1</v>
      </c>
      <c r="I98">
        <v>144</v>
      </c>
      <c r="J98" s="1">
        <v>46166</v>
      </c>
      <c r="K98">
        <v>2.62</v>
      </c>
      <c r="L98">
        <v>16</v>
      </c>
      <c r="M98">
        <v>178</v>
      </c>
      <c r="N98">
        <v>24</v>
      </c>
      <c r="O98" t="str">
        <f t="shared" si="1"/>
        <v>201-300</v>
      </c>
    </row>
    <row r="99" spans="1:15" x14ac:dyDescent="0.35">
      <c r="A99" t="s">
        <v>179</v>
      </c>
      <c r="B99" t="s">
        <v>36</v>
      </c>
      <c r="C99" t="s">
        <v>37</v>
      </c>
      <c r="D99">
        <v>42.674675000000001</v>
      </c>
      <c r="E99">
        <v>-73.822861000000003</v>
      </c>
      <c r="F99" t="s">
        <v>22</v>
      </c>
      <c r="G99">
        <v>701</v>
      </c>
      <c r="H99">
        <v>1</v>
      </c>
      <c r="I99">
        <v>62</v>
      </c>
      <c r="J99" s="1">
        <v>46168</v>
      </c>
      <c r="K99">
        <v>1.2</v>
      </c>
      <c r="L99">
        <v>8</v>
      </c>
      <c r="M99">
        <v>356</v>
      </c>
      <c r="N99">
        <v>22</v>
      </c>
      <c r="O99" t="str">
        <f t="shared" si="1"/>
        <v>500+</v>
      </c>
    </row>
    <row r="100" spans="1:15" x14ac:dyDescent="0.35">
      <c r="A100" t="s">
        <v>181</v>
      </c>
      <c r="B100" t="s">
        <v>182</v>
      </c>
      <c r="C100" t="s">
        <v>47</v>
      </c>
      <c r="D100">
        <v>42.662610000000001</v>
      </c>
      <c r="E100">
        <v>-73.790260000000004</v>
      </c>
      <c r="F100" t="s">
        <v>22</v>
      </c>
      <c r="G100">
        <v>146</v>
      </c>
      <c r="H100">
        <v>1</v>
      </c>
      <c r="I100">
        <v>124</v>
      </c>
      <c r="J100" s="1">
        <v>46166</v>
      </c>
      <c r="K100">
        <v>2.54</v>
      </c>
      <c r="L100">
        <v>16</v>
      </c>
      <c r="M100">
        <v>248</v>
      </c>
      <c r="N100">
        <v>19</v>
      </c>
      <c r="O100" t="str">
        <f t="shared" si="1"/>
        <v>101-200</v>
      </c>
    </row>
    <row r="101" spans="1:15" x14ac:dyDescent="0.35">
      <c r="A101" t="s">
        <v>183</v>
      </c>
      <c r="B101" t="s">
        <v>182</v>
      </c>
      <c r="C101" t="s">
        <v>25</v>
      </c>
      <c r="D101">
        <v>42.654220000000002</v>
      </c>
      <c r="E101">
        <v>-73.769959999999998</v>
      </c>
      <c r="F101" t="s">
        <v>22</v>
      </c>
      <c r="G101">
        <v>183</v>
      </c>
      <c r="H101">
        <v>1</v>
      </c>
      <c r="I101">
        <v>82</v>
      </c>
      <c r="J101" s="1">
        <v>46173</v>
      </c>
      <c r="K101">
        <v>1.59</v>
      </c>
      <c r="L101">
        <v>16</v>
      </c>
      <c r="M101">
        <v>325</v>
      </c>
      <c r="N101">
        <v>13</v>
      </c>
      <c r="O101" t="str">
        <f t="shared" si="1"/>
        <v>101-200</v>
      </c>
    </row>
    <row r="102" spans="1:15" x14ac:dyDescent="0.35">
      <c r="A102" t="s">
        <v>184</v>
      </c>
      <c r="B102" t="s">
        <v>182</v>
      </c>
      <c r="C102" t="s">
        <v>25</v>
      </c>
      <c r="D102">
        <v>42.654029999999999</v>
      </c>
      <c r="E102">
        <v>-73.770560000000003</v>
      </c>
      <c r="F102" t="s">
        <v>22</v>
      </c>
      <c r="G102">
        <v>173</v>
      </c>
      <c r="H102">
        <v>1</v>
      </c>
      <c r="I102">
        <v>192</v>
      </c>
      <c r="J102" s="1">
        <v>46113</v>
      </c>
      <c r="K102">
        <v>3.55</v>
      </c>
      <c r="L102">
        <v>16</v>
      </c>
      <c r="M102">
        <v>337</v>
      </c>
      <c r="N102">
        <v>56</v>
      </c>
      <c r="O102" t="str">
        <f t="shared" si="1"/>
        <v>101-200</v>
      </c>
    </row>
    <row r="103" spans="1:15" x14ac:dyDescent="0.35">
      <c r="A103" t="s">
        <v>187</v>
      </c>
      <c r="B103" t="s">
        <v>72</v>
      </c>
      <c r="C103" t="s">
        <v>51</v>
      </c>
      <c r="D103">
        <v>42.65578</v>
      </c>
      <c r="E103">
        <v>-73.786410000000004</v>
      </c>
      <c r="F103" t="s">
        <v>22</v>
      </c>
      <c r="G103">
        <v>144</v>
      </c>
      <c r="H103">
        <v>3</v>
      </c>
      <c r="I103">
        <v>87</v>
      </c>
      <c r="J103" s="1">
        <v>46159</v>
      </c>
      <c r="K103">
        <v>1.92</v>
      </c>
      <c r="L103">
        <v>9</v>
      </c>
      <c r="M103">
        <v>219</v>
      </c>
      <c r="N103">
        <v>29</v>
      </c>
      <c r="O103" t="str">
        <f t="shared" si="1"/>
        <v>101-200</v>
      </c>
    </row>
    <row r="104" spans="1:15" x14ac:dyDescent="0.35">
      <c r="A104" t="s">
        <v>188</v>
      </c>
      <c r="B104" t="s">
        <v>72</v>
      </c>
      <c r="C104" t="s">
        <v>47</v>
      </c>
      <c r="D104">
        <v>42.659050000000001</v>
      </c>
      <c r="E104">
        <v>-73.779640000000001</v>
      </c>
      <c r="F104" t="s">
        <v>22</v>
      </c>
      <c r="G104">
        <v>137</v>
      </c>
      <c r="H104">
        <v>3</v>
      </c>
      <c r="I104">
        <v>66</v>
      </c>
      <c r="J104" s="1">
        <v>46094</v>
      </c>
      <c r="K104">
        <v>1.33</v>
      </c>
      <c r="L104">
        <v>9</v>
      </c>
      <c r="M104">
        <v>319</v>
      </c>
      <c r="N104">
        <v>9</v>
      </c>
      <c r="O104" t="str">
        <f t="shared" si="1"/>
        <v>101-200</v>
      </c>
    </row>
    <row r="105" spans="1:15" x14ac:dyDescent="0.35">
      <c r="A105" t="s">
        <v>189</v>
      </c>
      <c r="B105" t="s">
        <v>190</v>
      </c>
      <c r="C105" t="s">
        <v>51</v>
      </c>
      <c r="D105">
        <v>42.660620000000002</v>
      </c>
      <c r="E105">
        <v>-73.791120000000006</v>
      </c>
      <c r="F105" t="s">
        <v>22</v>
      </c>
      <c r="G105">
        <v>95</v>
      </c>
      <c r="H105">
        <v>5</v>
      </c>
      <c r="I105">
        <v>2</v>
      </c>
      <c r="J105" s="1">
        <v>45103</v>
      </c>
      <c r="K105">
        <v>0.04</v>
      </c>
      <c r="L105">
        <v>1</v>
      </c>
      <c r="M105">
        <v>363</v>
      </c>
      <c r="N105">
        <v>0</v>
      </c>
      <c r="O105" t="str">
        <f t="shared" si="1"/>
        <v>0-100</v>
      </c>
    </row>
    <row r="106" spans="1:15" x14ac:dyDescent="0.35">
      <c r="A106" t="s">
        <v>191</v>
      </c>
      <c r="B106" t="s">
        <v>127</v>
      </c>
      <c r="C106" t="s">
        <v>28</v>
      </c>
      <c r="D106">
        <v>42.644410000000001</v>
      </c>
      <c r="E106">
        <v>-73.756469999999993</v>
      </c>
      <c r="F106" t="s">
        <v>22</v>
      </c>
      <c r="G106">
        <v>108</v>
      </c>
      <c r="H106">
        <v>13</v>
      </c>
      <c r="I106">
        <v>17</v>
      </c>
      <c r="J106" s="1">
        <v>46082</v>
      </c>
      <c r="K106">
        <v>0.35</v>
      </c>
      <c r="L106">
        <v>6</v>
      </c>
      <c r="M106">
        <v>166</v>
      </c>
      <c r="N106">
        <v>3</v>
      </c>
      <c r="O106" t="str">
        <f t="shared" si="1"/>
        <v>101-200</v>
      </c>
    </row>
    <row r="107" spans="1:15" x14ac:dyDescent="0.35">
      <c r="A107" t="s">
        <v>192</v>
      </c>
      <c r="B107" t="s">
        <v>141</v>
      </c>
      <c r="C107" t="s">
        <v>68</v>
      </c>
      <c r="D107">
        <v>42.669110000000003</v>
      </c>
      <c r="E107">
        <v>-73.798689999999993</v>
      </c>
      <c r="F107" t="s">
        <v>31</v>
      </c>
      <c r="G107">
        <v>124</v>
      </c>
      <c r="H107">
        <v>1</v>
      </c>
      <c r="I107">
        <v>157</v>
      </c>
      <c r="J107" s="1">
        <v>46145</v>
      </c>
      <c r="K107">
        <v>3.25</v>
      </c>
      <c r="L107">
        <v>12</v>
      </c>
      <c r="M107">
        <v>3</v>
      </c>
      <c r="N107">
        <v>31</v>
      </c>
      <c r="O107" t="str">
        <f t="shared" si="1"/>
        <v>101-200</v>
      </c>
    </row>
    <row r="108" spans="1:15" x14ac:dyDescent="0.35">
      <c r="A108" t="s">
        <v>193</v>
      </c>
      <c r="B108" t="s">
        <v>176</v>
      </c>
      <c r="C108" t="s">
        <v>25</v>
      </c>
      <c r="D108">
        <v>42.653530000000003</v>
      </c>
      <c r="E108">
        <v>-73.767899999999997</v>
      </c>
      <c r="F108" t="s">
        <v>22</v>
      </c>
      <c r="G108">
        <v>177</v>
      </c>
      <c r="H108">
        <v>1</v>
      </c>
      <c r="I108">
        <v>242</v>
      </c>
      <c r="J108" s="1">
        <v>46188</v>
      </c>
      <c r="K108">
        <v>4.84</v>
      </c>
      <c r="L108">
        <v>4</v>
      </c>
      <c r="M108">
        <v>91</v>
      </c>
      <c r="N108">
        <v>63</v>
      </c>
      <c r="O108" t="str">
        <f t="shared" si="1"/>
        <v>101-200</v>
      </c>
    </row>
    <row r="109" spans="1:15" x14ac:dyDescent="0.35">
      <c r="A109" t="s">
        <v>194</v>
      </c>
      <c r="B109" t="s">
        <v>127</v>
      </c>
      <c r="C109" t="s">
        <v>28</v>
      </c>
      <c r="D109">
        <v>42.644889999999997</v>
      </c>
      <c r="E109">
        <v>-73.757310000000004</v>
      </c>
      <c r="F109" t="s">
        <v>22</v>
      </c>
      <c r="G109">
        <v>152</v>
      </c>
      <c r="H109">
        <v>13</v>
      </c>
      <c r="I109">
        <v>12</v>
      </c>
      <c r="J109" s="1">
        <v>46073</v>
      </c>
      <c r="K109">
        <v>0.25</v>
      </c>
      <c r="L109">
        <v>6</v>
      </c>
      <c r="M109">
        <v>282</v>
      </c>
      <c r="N109">
        <v>2</v>
      </c>
      <c r="O109" t="str">
        <f t="shared" si="1"/>
        <v>101-200</v>
      </c>
    </row>
    <row r="110" spans="1:15" x14ac:dyDescent="0.35">
      <c r="A110" t="s">
        <v>195</v>
      </c>
      <c r="B110" t="s">
        <v>141</v>
      </c>
      <c r="C110" t="s">
        <v>34</v>
      </c>
      <c r="D110">
        <v>42.667619999999999</v>
      </c>
      <c r="E110">
        <v>-73.799189999999996</v>
      </c>
      <c r="F110" t="s">
        <v>22</v>
      </c>
      <c r="G110">
        <v>1701</v>
      </c>
      <c r="H110">
        <v>1</v>
      </c>
      <c r="I110">
        <v>18</v>
      </c>
      <c r="J110" s="1">
        <v>45925</v>
      </c>
      <c r="K110">
        <v>0.38</v>
      </c>
      <c r="L110">
        <v>12</v>
      </c>
      <c r="M110">
        <v>148</v>
      </c>
      <c r="N110">
        <v>3</v>
      </c>
      <c r="O110" t="str">
        <f t="shared" si="1"/>
        <v>500+</v>
      </c>
    </row>
    <row r="111" spans="1:15" x14ac:dyDescent="0.35">
      <c r="A111" t="s">
        <v>196</v>
      </c>
      <c r="B111" t="s">
        <v>132</v>
      </c>
      <c r="C111" t="s">
        <v>28</v>
      </c>
      <c r="D111">
        <v>42.64528</v>
      </c>
      <c r="E111">
        <v>-73.758610000000004</v>
      </c>
      <c r="F111" t="s">
        <v>22</v>
      </c>
      <c r="G111">
        <v>208</v>
      </c>
      <c r="H111">
        <v>1</v>
      </c>
      <c r="I111">
        <v>66</v>
      </c>
      <c r="J111" s="1">
        <v>46171</v>
      </c>
      <c r="K111">
        <v>1.35</v>
      </c>
      <c r="L111">
        <v>16</v>
      </c>
      <c r="M111">
        <v>189</v>
      </c>
      <c r="N111">
        <v>9</v>
      </c>
      <c r="O111" t="str">
        <f t="shared" si="1"/>
        <v>201-300</v>
      </c>
    </row>
    <row r="112" spans="1:15" x14ac:dyDescent="0.35">
      <c r="A112" t="s">
        <v>197</v>
      </c>
      <c r="B112" t="s">
        <v>198</v>
      </c>
      <c r="C112" t="s">
        <v>21</v>
      </c>
      <c r="D112">
        <v>42.661699748312202</v>
      </c>
      <c r="E112">
        <v>-73.764668276057407</v>
      </c>
      <c r="F112" t="s">
        <v>31</v>
      </c>
      <c r="G112">
        <v>94</v>
      </c>
      <c r="H112">
        <v>3</v>
      </c>
      <c r="I112">
        <v>0</v>
      </c>
      <c r="K112">
        <v>0</v>
      </c>
      <c r="L112">
        <v>1</v>
      </c>
      <c r="M112">
        <v>88</v>
      </c>
      <c r="N112">
        <v>0</v>
      </c>
      <c r="O112" t="str">
        <f t="shared" si="1"/>
        <v>0-100</v>
      </c>
    </row>
    <row r="113" spans="1:15" x14ac:dyDescent="0.35">
      <c r="A113" t="s">
        <v>201</v>
      </c>
      <c r="B113" t="s">
        <v>202</v>
      </c>
      <c r="C113" t="s">
        <v>28</v>
      </c>
      <c r="D113">
        <v>42.645350999999998</v>
      </c>
      <c r="E113">
        <v>-73.753647000000001</v>
      </c>
      <c r="F113" t="s">
        <v>22</v>
      </c>
      <c r="G113">
        <v>1267</v>
      </c>
      <c r="H113">
        <v>1</v>
      </c>
      <c r="I113">
        <v>10</v>
      </c>
      <c r="J113" s="1">
        <v>45164</v>
      </c>
      <c r="K113">
        <v>0.2</v>
      </c>
      <c r="L113">
        <v>1</v>
      </c>
      <c r="M113">
        <v>365</v>
      </c>
      <c r="N113">
        <v>0</v>
      </c>
      <c r="O113" t="str">
        <f t="shared" si="1"/>
        <v>500+</v>
      </c>
    </row>
    <row r="114" spans="1:15" x14ac:dyDescent="0.35">
      <c r="A114" t="s">
        <v>203</v>
      </c>
      <c r="B114" t="s">
        <v>127</v>
      </c>
      <c r="C114" t="s">
        <v>28</v>
      </c>
      <c r="D114">
        <v>42.646250000000002</v>
      </c>
      <c r="E114">
        <v>-73.756630000000001</v>
      </c>
      <c r="F114" t="s">
        <v>22</v>
      </c>
      <c r="G114">
        <v>216</v>
      </c>
      <c r="H114">
        <v>14</v>
      </c>
      <c r="I114">
        <v>8</v>
      </c>
      <c r="J114" s="1">
        <v>45622</v>
      </c>
      <c r="K114">
        <v>0.17</v>
      </c>
      <c r="L114">
        <v>6</v>
      </c>
      <c r="M114">
        <v>166</v>
      </c>
      <c r="N114">
        <v>0</v>
      </c>
      <c r="O114" t="str">
        <f t="shared" si="1"/>
        <v>201-300</v>
      </c>
    </row>
    <row r="115" spans="1:15" x14ac:dyDescent="0.35">
      <c r="A115" t="s">
        <v>204</v>
      </c>
      <c r="B115" t="s">
        <v>205</v>
      </c>
      <c r="C115" t="s">
        <v>117</v>
      </c>
      <c r="D115">
        <v>42.637454699999999</v>
      </c>
      <c r="E115">
        <v>-73.771664700000002</v>
      </c>
      <c r="F115" t="s">
        <v>22</v>
      </c>
      <c r="G115">
        <v>214</v>
      </c>
      <c r="H115">
        <v>5</v>
      </c>
      <c r="I115">
        <v>5</v>
      </c>
      <c r="J115" s="1">
        <v>45191</v>
      </c>
      <c r="K115">
        <v>0.1</v>
      </c>
      <c r="L115">
        <v>2</v>
      </c>
      <c r="M115">
        <v>357</v>
      </c>
      <c r="N115">
        <v>0</v>
      </c>
      <c r="O115" t="str">
        <f t="shared" si="1"/>
        <v>201-300</v>
      </c>
    </row>
    <row r="116" spans="1:15" x14ac:dyDescent="0.35">
      <c r="A116" t="s">
        <v>206</v>
      </c>
      <c r="B116" t="s">
        <v>205</v>
      </c>
      <c r="C116" t="s">
        <v>117</v>
      </c>
      <c r="D116">
        <v>42.637881899999996</v>
      </c>
      <c r="E116">
        <v>-73.771526899999998</v>
      </c>
      <c r="F116" t="s">
        <v>22</v>
      </c>
      <c r="G116">
        <v>176</v>
      </c>
      <c r="H116">
        <v>7</v>
      </c>
      <c r="I116">
        <v>2</v>
      </c>
      <c r="J116" s="1">
        <v>45516</v>
      </c>
      <c r="K116">
        <v>0.04</v>
      </c>
      <c r="L116">
        <v>2</v>
      </c>
      <c r="M116">
        <v>365</v>
      </c>
      <c r="N116">
        <v>0</v>
      </c>
      <c r="O116" t="str">
        <f t="shared" si="1"/>
        <v>101-200</v>
      </c>
    </row>
    <row r="117" spans="1:15" x14ac:dyDescent="0.35">
      <c r="A117" t="s">
        <v>209</v>
      </c>
      <c r="B117" t="s">
        <v>166</v>
      </c>
      <c r="C117" t="s">
        <v>25</v>
      </c>
      <c r="D117">
        <v>42.654057650371499</v>
      </c>
      <c r="E117">
        <v>-73.760712996295098</v>
      </c>
      <c r="F117" t="s">
        <v>22</v>
      </c>
      <c r="G117">
        <v>149</v>
      </c>
      <c r="H117">
        <v>1</v>
      </c>
      <c r="I117">
        <v>348</v>
      </c>
      <c r="J117" s="1">
        <v>46171</v>
      </c>
      <c r="K117">
        <v>7.47</v>
      </c>
      <c r="L117">
        <v>2</v>
      </c>
      <c r="M117">
        <v>315</v>
      </c>
      <c r="N117">
        <v>80</v>
      </c>
      <c r="O117" t="str">
        <f t="shared" si="1"/>
        <v>101-200</v>
      </c>
    </row>
    <row r="118" spans="1:15" x14ac:dyDescent="0.35">
      <c r="A118" t="s">
        <v>210</v>
      </c>
      <c r="B118" t="s">
        <v>211</v>
      </c>
      <c r="C118" t="s">
        <v>40</v>
      </c>
      <c r="D118">
        <v>42.662300000000002</v>
      </c>
      <c r="E118">
        <v>-73.777000000000001</v>
      </c>
      <c r="F118" t="s">
        <v>22</v>
      </c>
      <c r="G118">
        <v>84</v>
      </c>
      <c r="H118">
        <v>31</v>
      </c>
      <c r="I118">
        <v>103</v>
      </c>
      <c r="J118" s="1">
        <v>45711</v>
      </c>
      <c r="K118">
        <v>2.44</v>
      </c>
      <c r="L118">
        <v>1</v>
      </c>
      <c r="M118">
        <v>166</v>
      </c>
      <c r="N118">
        <v>0</v>
      </c>
      <c r="O118" t="str">
        <f t="shared" si="1"/>
        <v>0-100</v>
      </c>
    </row>
    <row r="119" spans="1:15" x14ac:dyDescent="0.35">
      <c r="A119" t="s">
        <v>212</v>
      </c>
      <c r="B119" t="s">
        <v>213</v>
      </c>
      <c r="C119" t="s">
        <v>28</v>
      </c>
      <c r="D119">
        <v>42.646850200000003</v>
      </c>
      <c r="E119">
        <v>-73.758725799999993</v>
      </c>
      <c r="F119" t="s">
        <v>22</v>
      </c>
      <c r="G119">
        <v>436</v>
      </c>
      <c r="H119">
        <v>2</v>
      </c>
      <c r="I119">
        <v>10</v>
      </c>
      <c r="J119" s="1">
        <v>46103</v>
      </c>
      <c r="K119">
        <v>0.22</v>
      </c>
      <c r="L119">
        <v>3</v>
      </c>
      <c r="M119">
        <v>122</v>
      </c>
      <c r="N119">
        <v>5</v>
      </c>
      <c r="O119" t="str">
        <f t="shared" si="1"/>
        <v>301-500</v>
      </c>
    </row>
    <row r="120" spans="1:15" x14ac:dyDescent="0.35">
      <c r="A120" t="s">
        <v>214</v>
      </c>
      <c r="B120" t="s">
        <v>215</v>
      </c>
      <c r="C120" t="s">
        <v>68</v>
      </c>
      <c r="D120">
        <v>42.670749999999998</v>
      </c>
      <c r="E120">
        <v>-73.797039999999996</v>
      </c>
      <c r="F120" t="s">
        <v>22</v>
      </c>
      <c r="G120">
        <v>290</v>
      </c>
      <c r="H120">
        <v>2</v>
      </c>
      <c r="I120">
        <v>6</v>
      </c>
      <c r="J120" s="1">
        <v>46015</v>
      </c>
      <c r="K120">
        <v>0.26</v>
      </c>
      <c r="L120">
        <v>1</v>
      </c>
      <c r="M120">
        <v>160</v>
      </c>
      <c r="N120">
        <v>2</v>
      </c>
      <c r="O120" t="str">
        <f t="shared" si="1"/>
        <v>201-300</v>
      </c>
    </row>
    <row r="121" spans="1:15" x14ac:dyDescent="0.35">
      <c r="A121" t="s">
        <v>216</v>
      </c>
      <c r="B121" t="s">
        <v>217</v>
      </c>
      <c r="C121" t="s">
        <v>68</v>
      </c>
      <c r="D121">
        <v>42.674849999999999</v>
      </c>
      <c r="E121">
        <v>-73.798670000000001</v>
      </c>
      <c r="F121" t="s">
        <v>22</v>
      </c>
      <c r="G121">
        <v>145</v>
      </c>
      <c r="H121">
        <v>3</v>
      </c>
      <c r="I121">
        <v>9</v>
      </c>
      <c r="J121" s="1">
        <v>46050</v>
      </c>
      <c r="K121">
        <v>0.2</v>
      </c>
      <c r="L121">
        <v>1</v>
      </c>
      <c r="M121">
        <v>162</v>
      </c>
      <c r="N121">
        <v>6</v>
      </c>
      <c r="O121" t="str">
        <f t="shared" si="1"/>
        <v>101-200</v>
      </c>
    </row>
    <row r="122" spans="1:15" x14ac:dyDescent="0.35">
      <c r="A122" t="s">
        <v>218</v>
      </c>
      <c r="B122" t="s">
        <v>127</v>
      </c>
      <c r="C122" t="s">
        <v>28</v>
      </c>
      <c r="D122">
        <v>42.645769999999999</v>
      </c>
      <c r="E122">
        <v>-73.758300000000006</v>
      </c>
      <c r="F122" t="s">
        <v>22</v>
      </c>
      <c r="G122">
        <v>232</v>
      </c>
      <c r="H122">
        <v>13</v>
      </c>
      <c r="I122">
        <v>10</v>
      </c>
      <c r="J122" s="1">
        <v>45928</v>
      </c>
      <c r="K122">
        <v>0.24</v>
      </c>
      <c r="L122">
        <v>6</v>
      </c>
      <c r="M122">
        <v>166</v>
      </c>
      <c r="N122">
        <v>2</v>
      </c>
      <c r="O122" t="str">
        <f t="shared" si="1"/>
        <v>201-300</v>
      </c>
    </row>
    <row r="123" spans="1:15" x14ac:dyDescent="0.35">
      <c r="A123" t="s">
        <v>219</v>
      </c>
      <c r="B123" t="s">
        <v>95</v>
      </c>
      <c r="C123" t="s">
        <v>68</v>
      </c>
      <c r="D123">
        <v>42.672609999999999</v>
      </c>
      <c r="E123">
        <v>-73.792619999999999</v>
      </c>
      <c r="F123" t="s">
        <v>22</v>
      </c>
      <c r="G123">
        <v>228</v>
      </c>
      <c r="H123">
        <v>2</v>
      </c>
      <c r="I123">
        <v>75</v>
      </c>
      <c r="J123" s="1">
        <v>46157</v>
      </c>
      <c r="K123">
        <v>1.69</v>
      </c>
      <c r="L123">
        <v>14</v>
      </c>
      <c r="M123">
        <v>65</v>
      </c>
      <c r="N123">
        <v>10</v>
      </c>
      <c r="O123" t="str">
        <f t="shared" si="1"/>
        <v>201-300</v>
      </c>
    </row>
    <row r="124" spans="1:15" x14ac:dyDescent="0.35">
      <c r="A124" t="s">
        <v>220</v>
      </c>
      <c r="B124" t="s">
        <v>87</v>
      </c>
      <c r="C124" t="s">
        <v>21</v>
      </c>
      <c r="D124">
        <v>42.64564</v>
      </c>
      <c r="E124">
        <v>-73.752610000000004</v>
      </c>
      <c r="F124" t="s">
        <v>22</v>
      </c>
      <c r="G124">
        <v>155</v>
      </c>
      <c r="H124">
        <v>1</v>
      </c>
      <c r="I124">
        <v>114</v>
      </c>
      <c r="J124" s="1">
        <v>46168</v>
      </c>
      <c r="K124">
        <v>2.58</v>
      </c>
      <c r="L124">
        <v>11</v>
      </c>
      <c r="M124">
        <v>357</v>
      </c>
      <c r="N124">
        <v>33</v>
      </c>
      <c r="O124" t="str">
        <f t="shared" si="1"/>
        <v>101-200</v>
      </c>
    </row>
    <row r="125" spans="1:15" x14ac:dyDescent="0.35">
      <c r="A125" t="s">
        <v>221</v>
      </c>
      <c r="B125" t="s">
        <v>33</v>
      </c>
      <c r="C125" t="s">
        <v>25</v>
      </c>
      <c r="D125">
        <v>42.65643</v>
      </c>
      <c r="E125">
        <v>-73.764020000000002</v>
      </c>
      <c r="F125" t="s">
        <v>31</v>
      </c>
      <c r="G125">
        <v>30</v>
      </c>
      <c r="H125">
        <v>30</v>
      </c>
      <c r="I125">
        <v>3</v>
      </c>
      <c r="J125" s="1">
        <v>45570</v>
      </c>
      <c r="K125">
        <v>7.0000000000000007E-2</v>
      </c>
      <c r="L125">
        <v>1</v>
      </c>
      <c r="M125">
        <v>319</v>
      </c>
      <c r="N125">
        <v>0</v>
      </c>
      <c r="O125" t="str">
        <f t="shared" si="1"/>
        <v>0-100</v>
      </c>
    </row>
    <row r="126" spans="1:15" x14ac:dyDescent="0.35">
      <c r="A126" t="s">
        <v>222</v>
      </c>
      <c r="B126" t="s">
        <v>95</v>
      </c>
      <c r="C126" t="s">
        <v>47</v>
      </c>
      <c r="D126">
        <v>42.660690000000002</v>
      </c>
      <c r="E126">
        <v>-73.785550000000001</v>
      </c>
      <c r="F126" t="s">
        <v>22</v>
      </c>
      <c r="G126">
        <v>403</v>
      </c>
      <c r="H126">
        <v>1</v>
      </c>
      <c r="I126">
        <v>46</v>
      </c>
      <c r="J126" s="1">
        <v>45718</v>
      </c>
      <c r="K126">
        <v>1.05</v>
      </c>
      <c r="L126">
        <v>14</v>
      </c>
      <c r="M126">
        <v>66</v>
      </c>
      <c r="N126">
        <v>0</v>
      </c>
      <c r="O126" t="str">
        <f t="shared" si="1"/>
        <v>301-500</v>
      </c>
    </row>
    <row r="127" spans="1:15" x14ac:dyDescent="0.35">
      <c r="A127" t="s">
        <v>223</v>
      </c>
      <c r="B127" t="s">
        <v>66</v>
      </c>
      <c r="C127" t="s">
        <v>51</v>
      </c>
      <c r="D127">
        <v>42.654317800000001</v>
      </c>
      <c r="E127">
        <v>-73.781822199999993</v>
      </c>
      <c r="F127" t="s">
        <v>31</v>
      </c>
      <c r="G127">
        <v>86</v>
      </c>
      <c r="H127">
        <v>2</v>
      </c>
      <c r="I127">
        <v>47</v>
      </c>
      <c r="J127" s="1">
        <v>46121</v>
      </c>
      <c r="K127">
        <v>1.06</v>
      </c>
      <c r="L127">
        <v>8</v>
      </c>
      <c r="M127">
        <v>324</v>
      </c>
      <c r="N127">
        <v>9</v>
      </c>
      <c r="O127" t="str">
        <f t="shared" si="1"/>
        <v>0-100</v>
      </c>
    </row>
    <row r="128" spans="1:15" x14ac:dyDescent="0.35">
      <c r="A128" t="s">
        <v>224</v>
      </c>
      <c r="B128" t="s">
        <v>63</v>
      </c>
      <c r="C128" t="s">
        <v>64</v>
      </c>
      <c r="D128">
        <v>42.6496</v>
      </c>
      <c r="E128">
        <v>-73.767920000000004</v>
      </c>
      <c r="F128" t="s">
        <v>22</v>
      </c>
      <c r="G128">
        <v>147</v>
      </c>
      <c r="H128">
        <v>2</v>
      </c>
      <c r="I128">
        <v>47</v>
      </c>
      <c r="J128" s="1">
        <v>46167</v>
      </c>
      <c r="K128">
        <v>1.22</v>
      </c>
      <c r="L128">
        <v>2</v>
      </c>
      <c r="M128">
        <v>355</v>
      </c>
      <c r="N128">
        <v>16</v>
      </c>
      <c r="O128" t="str">
        <f t="shared" si="1"/>
        <v>101-200</v>
      </c>
    </row>
    <row r="129" spans="1:15" x14ac:dyDescent="0.35">
      <c r="A129" t="s">
        <v>225</v>
      </c>
      <c r="B129" t="s">
        <v>42</v>
      </c>
      <c r="C129" t="s">
        <v>25</v>
      </c>
      <c r="D129">
        <v>42.652589999999996</v>
      </c>
      <c r="E129">
        <v>-73.767319999999998</v>
      </c>
      <c r="F129" t="s">
        <v>31</v>
      </c>
      <c r="G129">
        <v>55</v>
      </c>
      <c r="H129">
        <v>20</v>
      </c>
      <c r="I129">
        <v>22</v>
      </c>
      <c r="J129" s="1">
        <v>46147</v>
      </c>
      <c r="K129">
        <v>0.52</v>
      </c>
      <c r="L129">
        <v>2</v>
      </c>
      <c r="M129">
        <v>241</v>
      </c>
      <c r="N129">
        <v>4</v>
      </c>
      <c r="O129" t="str">
        <f t="shared" si="1"/>
        <v>0-100</v>
      </c>
    </row>
    <row r="130" spans="1:15" x14ac:dyDescent="0.35">
      <c r="A130" t="s">
        <v>226</v>
      </c>
      <c r="B130" t="s">
        <v>33</v>
      </c>
      <c r="C130" t="s">
        <v>25</v>
      </c>
      <c r="D130">
        <v>42.655340000000002</v>
      </c>
      <c r="E130">
        <v>-73.764610000000005</v>
      </c>
      <c r="F130" t="s">
        <v>22</v>
      </c>
      <c r="G130">
        <v>104</v>
      </c>
      <c r="H130">
        <v>7</v>
      </c>
      <c r="I130">
        <v>15</v>
      </c>
      <c r="J130" s="1">
        <v>46068</v>
      </c>
      <c r="K130">
        <v>0.35</v>
      </c>
      <c r="L130">
        <v>11</v>
      </c>
      <c r="M130">
        <v>312</v>
      </c>
      <c r="N130">
        <v>1</v>
      </c>
      <c r="O130" t="str">
        <f t="shared" ref="O130:O193" si="2">IF(G130&lt;=100,"0-100",
IF(G130&lt;=200,"101-200",
IF(G130&lt;=300,"201-300",
IF(G130&lt;=500,"301-500","500+"))))</f>
        <v>101-200</v>
      </c>
    </row>
    <row r="131" spans="1:15" x14ac:dyDescent="0.35">
      <c r="A131" t="s">
        <v>227</v>
      </c>
      <c r="B131" t="s">
        <v>95</v>
      </c>
      <c r="C131" t="s">
        <v>68</v>
      </c>
      <c r="D131">
        <v>42.672609999999999</v>
      </c>
      <c r="E131">
        <v>-73.792619999999999</v>
      </c>
      <c r="F131" t="s">
        <v>22</v>
      </c>
      <c r="G131">
        <v>249</v>
      </c>
      <c r="H131">
        <v>2</v>
      </c>
      <c r="I131">
        <v>70</v>
      </c>
      <c r="J131" s="1">
        <v>46148</v>
      </c>
      <c r="K131">
        <v>1.74</v>
      </c>
      <c r="L131">
        <v>14</v>
      </c>
      <c r="M131">
        <v>36</v>
      </c>
      <c r="N131">
        <v>18</v>
      </c>
      <c r="O131" t="str">
        <f t="shared" si="2"/>
        <v>201-300</v>
      </c>
    </row>
    <row r="132" spans="1:15" x14ac:dyDescent="0.35">
      <c r="A132" t="s">
        <v>228</v>
      </c>
      <c r="B132" t="s">
        <v>182</v>
      </c>
      <c r="C132" t="s">
        <v>25</v>
      </c>
      <c r="D132">
        <v>42.654049999999998</v>
      </c>
      <c r="E132">
        <v>-73.769530000000003</v>
      </c>
      <c r="F132" t="s">
        <v>22</v>
      </c>
      <c r="G132">
        <v>183</v>
      </c>
      <c r="H132">
        <v>1</v>
      </c>
      <c r="I132">
        <v>50</v>
      </c>
      <c r="J132" s="1">
        <v>46152</v>
      </c>
      <c r="K132">
        <v>1.17</v>
      </c>
      <c r="L132">
        <v>16</v>
      </c>
      <c r="M132">
        <v>259</v>
      </c>
      <c r="N132">
        <v>5</v>
      </c>
      <c r="O132" t="str">
        <f t="shared" si="2"/>
        <v>101-200</v>
      </c>
    </row>
    <row r="133" spans="1:15" x14ac:dyDescent="0.35">
      <c r="A133" t="s">
        <v>229</v>
      </c>
      <c r="B133" t="s">
        <v>230</v>
      </c>
      <c r="C133" t="s">
        <v>47</v>
      </c>
      <c r="D133">
        <v>42.661169999999998</v>
      </c>
      <c r="E133">
        <v>-73.790909999999997</v>
      </c>
      <c r="F133" t="s">
        <v>31</v>
      </c>
      <c r="G133">
        <v>115</v>
      </c>
      <c r="H133">
        <v>1</v>
      </c>
      <c r="I133">
        <v>44</v>
      </c>
      <c r="J133" s="1">
        <v>46159</v>
      </c>
      <c r="K133">
        <v>1.02</v>
      </c>
      <c r="L133">
        <v>2</v>
      </c>
      <c r="M133">
        <v>10</v>
      </c>
      <c r="N133">
        <v>13</v>
      </c>
      <c r="O133" t="str">
        <f t="shared" si="2"/>
        <v>101-200</v>
      </c>
    </row>
    <row r="134" spans="1:15" x14ac:dyDescent="0.35">
      <c r="A134" t="s">
        <v>231</v>
      </c>
      <c r="B134" t="s">
        <v>232</v>
      </c>
      <c r="C134" t="s">
        <v>34</v>
      </c>
      <c r="D134">
        <v>42.6601</v>
      </c>
      <c r="E134">
        <v>-73.807190000000006</v>
      </c>
      <c r="F134" t="s">
        <v>22</v>
      </c>
      <c r="G134">
        <v>91</v>
      </c>
      <c r="H134">
        <v>4</v>
      </c>
      <c r="I134">
        <v>78</v>
      </c>
      <c r="J134" s="1">
        <v>46173</v>
      </c>
      <c r="K134">
        <v>1.85</v>
      </c>
      <c r="L134">
        <v>1</v>
      </c>
      <c r="M134">
        <v>231</v>
      </c>
      <c r="N134">
        <v>15</v>
      </c>
      <c r="O134" t="str">
        <f t="shared" si="2"/>
        <v>0-100</v>
      </c>
    </row>
    <row r="135" spans="1:15" x14ac:dyDescent="0.35">
      <c r="A135" t="s">
        <v>233</v>
      </c>
      <c r="B135" t="s">
        <v>234</v>
      </c>
      <c r="C135" t="s">
        <v>34</v>
      </c>
      <c r="D135">
        <v>42.662979999999997</v>
      </c>
      <c r="E135">
        <v>-73.813609999999997</v>
      </c>
      <c r="F135" t="s">
        <v>31</v>
      </c>
      <c r="G135">
        <v>78</v>
      </c>
      <c r="H135">
        <v>1</v>
      </c>
      <c r="I135">
        <v>62</v>
      </c>
      <c r="J135" s="1">
        <v>46165</v>
      </c>
      <c r="K135">
        <v>1.53</v>
      </c>
      <c r="L135">
        <v>1</v>
      </c>
      <c r="M135">
        <v>164</v>
      </c>
      <c r="N135">
        <v>42</v>
      </c>
      <c r="O135" t="str">
        <f t="shared" si="2"/>
        <v>0-100</v>
      </c>
    </row>
    <row r="136" spans="1:15" x14ac:dyDescent="0.35">
      <c r="A136" t="s">
        <v>235</v>
      </c>
      <c r="B136" t="s">
        <v>33</v>
      </c>
      <c r="C136" t="s">
        <v>21</v>
      </c>
      <c r="D136">
        <v>42.656529999999997</v>
      </c>
      <c r="E136">
        <v>-73.762230000000002</v>
      </c>
      <c r="F136" t="s">
        <v>22</v>
      </c>
      <c r="G136">
        <v>81</v>
      </c>
      <c r="H136">
        <v>30</v>
      </c>
      <c r="I136">
        <v>3</v>
      </c>
      <c r="J136" s="1">
        <v>45318</v>
      </c>
      <c r="K136">
        <v>0.09</v>
      </c>
      <c r="L136">
        <v>11</v>
      </c>
      <c r="M136">
        <v>364</v>
      </c>
      <c r="N136">
        <v>0</v>
      </c>
      <c r="O136" t="str">
        <f t="shared" si="2"/>
        <v>0-100</v>
      </c>
    </row>
    <row r="137" spans="1:15" x14ac:dyDescent="0.35">
      <c r="A137" t="s">
        <v>236</v>
      </c>
      <c r="B137" t="s">
        <v>33</v>
      </c>
      <c r="C137" t="s">
        <v>25</v>
      </c>
      <c r="D137">
        <v>42.653219999999997</v>
      </c>
      <c r="E137">
        <v>-73.76249</v>
      </c>
      <c r="F137" t="s">
        <v>22</v>
      </c>
      <c r="G137">
        <v>87</v>
      </c>
      <c r="H137">
        <v>30</v>
      </c>
      <c r="I137">
        <v>5</v>
      </c>
      <c r="J137" s="1">
        <v>46022</v>
      </c>
      <c r="K137">
        <v>0.15</v>
      </c>
      <c r="L137">
        <v>11</v>
      </c>
      <c r="M137">
        <v>354</v>
      </c>
      <c r="N137">
        <v>1</v>
      </c>
      <c r="O137" t="str">
        <f t="shared" si="2"/>
        <v>0-100</v>
      </c>
    </row>
    <row r="138" spans="1:15" x14ac:dyDescent="0.35">
      <c r="A138" t="s">
        <v>237</v>
      </c>
      <c r="B138" t="s">
        <v>238</v>
      </c>
      <c r="C138" t="s">
        <v>54</v>
      </c>
      <c r="D138">
        <v>42.659150313354701</v>
      </c>
      <c r="E138">
        <v>-73.754319325089398</v>
      </c>
      <c r="F138" t="s">
        <v>22</v>
      </c>
      <c r="G138">
        <v>149</v>
      </c>
      <c r="H138">
        <v>2</v>
      </c>
      <c r="I138">
        <v>43</v>
      </c>
      <c r="J138" s="1">
        <v>46131</v>
      </c>
      <c r="K138">
        <v>1.05</v>
      </c>
      <c r="L138">
        <v>1</v>
      </c>
      <c r="M138">
        <v>302</v>
      </c>
      <c r="N138">
        <v>7</v>
      </c>
      <c r="O138" t="str">
        <f t="shared" si="2"/>
        <v>101-200</v>
      </c>
    </row>
    <row r="139" spans="1:15" x14ac:dyDescent="0.35">
      <c r="A139" t="s">
        <v>239</v>
      </c>
      <c r="B139" t="s">
        <v>122</v>
      </c>
      <c r="C139" t="s">
        <v>34</v>
      </c>
      <c r="D139">
        <v>42.665300000000002</v>
      </c>
      <c r="E139">
        <v>-73.794300000000007</v>
      </c>
      <c r="F139" t="s">
        <v>22</v>
      </c>
      <c r="G139">
        <v>292</v>
      </c>
      <c r="H139">
        <v>1</v>
      </c>
      <c r="I139">
        <v>150</v>
      </c>
      <c r="J139" s="1">
        <v>46173</v>
      </c>
      <c r="K139">
        <v>3.73</v>
      </c>
      <c r="L139">
        <v>21</v>
      </c>
      <c r="M139">
        <v>105</v>
      </c>
      <c r="N139">
        <v>38</v>
      </c>
      <c r="O139" t="str">
        <f t="shared" si="2"/>
        <v>201-300</v>
      </c>
    </row>
    <row r="140" spans="1:15" x14ac:dyDescent="0.35">
      <c r="A140" t="s">
        <v>240</v>
      </c>
      <c r="B140" t="s">
        <v>241</v>
      </c>
      <c r="C140" t="s">
        <v>54</v>
      </c>
      <c r="D140">
        <v>42.672829999999998</v>
      </c>
      <c r="E140">
        <v>-73.773669999999996</v>
      </c>
      <c r="F140" t="s">
        <v>22</v>
      </c>
      <c r="G140">
        <v>137</v>
      </c>
      <c r="H140">
        <v>1</v>
      </c>
      <c r="I140">
        <v>24</v>
      </c>
      <c r="J140" s="1">
        <v>46109</v>
      </c>
      <c r="K140">
        <v>0.65</v>
      </c>
      <c r="L140">
        <v>1</v>
      </c>
      <c r="M140">
        <v>255</v>
      </c>
      <c r="N140">
        <v>9</v>
      </c>
      <c r="O140" t="str">
        <f t="shared" si="2"/>
        <v>101-200</v>
      </c>
    </row>
    <row r="141" spans="1:15" x14ac:dyDescent="0.35">
      <c r="A141" t="s">
        <v>242</v>
      </c>
      <c r="B141" t="s">
        <v>243</v>
      </c>
      <c r="C141" t="s">
        <v>51</v>
      </c>
      <c r="D141">
        <v>42.656328999999999</v>
      </c>
      <c r="E141">
        <v>-73.775204799999997</v>
      </c>
      <c r="F141" t="s">
        <v>244</v>
      </c>
      <c r="G141">
        <v>840</v>
      </c>
      <c r="H141">
        <v>1</v>
      </c>
      <c r="I141">
        <v>9</v>
      </c>
      <c r="J141" s="1">
        <v>46156</v>
      </c>
      <c r="K141">
        <v>0.26</v>
      </c>
      <c r="L141">
        <v>6</v>
      </c>
      <c r="M141">
        <v>141</v>
      </c>
      <c r="N141">
        <v>4</v>
      </c>
      <c r="O141" t="str">
        <f t="shared" si="2"/>
        <v>500+</v>
      </c>
    </row>
    <row r="142" spans="1:15" x14ac:dyDescent="0.35">
      <c r="A142" t="s">
        <v>245</v>
      </c>
      <c r="B142" t="s">
        <v>243</v>
      </c>
      <c r="C142" t="s">
        <v>51</v>
      </c>
      <c r="D142">
        <v>42.655819999999999</v>
      </c>
      <c r="E142">
        <v>-73.775409999999994</v>
      </c>
      <c r="F142" t="s">
        <v>31</v>
      </c>
      <c r="G142">
        <v>167</v>
      </c>
      <c r="H142">
        <v>1</v>
      </c>
      <c r="I142">
        <v>12</v>
      </c>
      <c r="J142" s="1">
        <v>45627</v>
      </c>
      <c r="K142">
        <v>0.34</v>
      </c>
      <c r="L142">
        <v>6</v>
      </c>
      <c r="M142">
        <v>185</v>
      </c>
      <c r="N142">
        <v>0</v>
      </c>
      <c r="O142" t="str">
        <f t="shared" si="2"/>
        <v>101-200</v>
      </c>
    </row>
    <row r="143" spans="1:15" x14ac:dyDescent="0.35">
      <c r="A143" t="s">
        <v>246</v>
      </c>
      <c r="B143" t="s">
        <v>50</v>
      </c>
      <c r="C143" t="s">
        <v>47</v>
      </c>
      <c r="D143">
        <v>42.657409999999999</v>
      </c>
      <c r="E143">
        <v>-73.780339999999995</v>
      </c>
      <c r="F143" t="s">
        <v>31</v>
      </c>
      <c r="G143">
        <v>69</v>
      </c>
      <c r="H143">
        <v>2</v>
      </c>
      <c r="I143">
        <v>23</v>
      </c>
      <c r="J143" s="1">
        <v>45972</v>
      </c>
      <c r="K143">
        <v>0.56000000000000005</v>
      </c>
      <c r="L143">
        <v>2</v>
      </c>
      <c r="M143">
        <v>101</v>
      </c>
      <c r="N143">
        <v>9</v>
      </c>
      <c r="O143" t="str">
        <f t="shared" si="2"/>
        <v>0-100</v>
      </c>
    </row>
    <row r="144" spans="1:15" x14ac:dyDescent="0.35">
      <c r="A144" t="s">
        <v>247</v>
      </c>
      <c r="B144" t="s">
        <v>243</v>
      </c>
      <c r="C144" t="s">
        <v>25</v>
      </c>
      <c r="D144">
        <v>42.657510000000002</v>
      </c>
      <c r="E144">
        <v>-73.774090000000001</v>
      </c>
      <c r="F144" t="s">
        <v>31</v>
      </c>
      <c r="G144">
        <v>190</v>
      </c>
      <c r="H144">
        <v>1</v>
      </c>
      <c r="I144">
        <v>6</v>
      </c>
      <c r="J144" s="1">
        <v>45578</v>
      </c>
      <c r="K144">
        <v>0.17</v>
      </c>
      <c r="L144">
        <v>6</v>
      </c>
      <c r="M144">
        <v>171</v>
      </c>
      <c r="N144">
        <v>0</v>
      </c>
      <c r="O144" t="str">
        <f t="shared" si="2"/>
        <v>101-200</v>
      </c>
    </row>
    <row r="145" spans="1:15" x14ac:dyDescent="0.35">
      <c r="A145" t="s">
        <v>249</v>
      </c>
      <c r="B145" t="s">
        <v>243</v>
      </c>
      <c r="C145" t="s">
        <v>51</v>
      </c>
      <c r="D145">
        <v>42.656328999999999</v>
      </c>
      <c r="E145">
        <v>-73.775205</v>
      </c>
      <c r="F145" t="s">
        <v>31</v>
      </c>
      <c r="G145">
        <v>179</v>
      </c>
      <c r="H145">
        <v>1</v>
      </c>
      <c r="I145">
        <v>6</v>
      </c>
      <c r="J145" s="1">
        <v>45576</v>
      </c>
      <c r="K145">
        <v>0.17</v>
      </c>
      <c r="L145">
        <v>6</v>
      </c>
      <c r="M145">
        <v>181</v>
      </c>
      <c r="N145">
        <v>0</v>
      </c>
      <c r="O145" t="str">
        <f t="shared" si="2"/>
        <v>101-200</v>
      </c>
    </row>
    <row r="146" spans="1:15" x14ac:dyDescent="0.35">
      <c r="A146" t="s">
        <v>250</v>
      </c>
      <c r="B146" t="s">
        <v>243</v>
      </c>
      <c r="C146" t="s">
        <v>51</v>
      </c>
      <c r="D146">
        <v>42.656328999999999</v>
      </c>
      <c r="E146">
        <v>-73.775205</v>
      </c>
      <c r="F146" t="s">
        <v>31</v>
      </c>
      <c r="G146">
        <v>167</v>
      </c>
      <c r="H146">
        <v>1</v>
      </c>
      <c r="I146">
        <v>10</v>
      </c>
      <c r="J146" s="1">
        <v>45896</v>
      </c>
      <c r="K146">
        <v>0.28000000000000003</v>
      </c>
      <c r="L146">
        <v>6</v>
      </c>
      <c r="M146">
        <v>187</v>
      </c>
      <c r="N146">
        <v>1</v>
      </c>
      <c r="O146" t="str">
        <f t="shared" si="2"/>
        <v>101-200</v>
      </c>
    </row>
    <row r="147" spans="1:15" x14ac:dyDescent="0.35">
      <c r="A147" t="s">
        <v>251</v>
      </c>
      <c r="B147" t="s">
        <v>252</v>
      </c>
      <c r="C147" t="s">
        <v>51</v>
      </c>
      <c r="D147">
        <v>42.656139715194897</v>
      </c>
      <c r="E147">
        <v>-73.792122378945294</v>
      </c>
      <c r="F147" t="s">
        <v>22</v>
      </c>
      <c r="G147">
        <v>110</v>
      </c>
      <c r="H147">
        <v>30</v>
      </c>
      <c r="I147">
        <v>3</v>
      </c>
      <c r="J147" s="1">
        <v>46166</v>
      </c>
      <c r="K147">
        <v>0.22</v>
      </c>
      <c r="L147">
        <v>2</v>
      </c>
      <c r="M147">
        <v>161</v>
      </c>
      <c r="N147">
        <v>2</v>
      </c>
      <c r="O147" t="str">
        <f t="shared" si="2"/>
        <v>101-200</v>
      </c>
    </row>
    <row r="148" spans="1:15" x14ac:dyDescent="0.35">
      <c r="A148" t="s">
        <v>253</v>
      </c>
      <c r="B148" t="s">
        <v>254</v>
      </c>
      <c r="C148" t="s">
        <v>68</v>
      </c>
      <c r="D148">
        <v>42.671439999999997</v>
      </c>
      <c r="E148">
        <v>-73.790329999999997</v>
      </c>
      <c r="F148" t="s">
        <v>31</v>
      </c>
      <c r="G148">
        <v>63</v>
      </c>
      <c r="H148">
        <v>5</v>
      </c>
      <c r="I148">
        <v>24</v>
      </c>
      <c r="J148" s="1">
        <v>46187</v>
      </c>
      <c r="K148">
        <v>0.69</v>
      </c>
      <c r="L148">
        <v>5</v>
      </c>
      <c r="M148">
        <v>360</v>
      </c>
      <c r="N148">
        <v>7</v>
      </c>
      <c r="O148" t="str">
        <f t="shared" si="2"/>
        <v>0-100</v>
      </c>
    </row>
    <row r="149" spans="1:15" x14ac:dyDescent="0.35">
      <c r="A149" t="s">
        <v>255</v>
      </c>
      <c r="B149" t="s">
        <v>182</v>
      </c>
      <c r="C149" t="s">
        <v>25</v>
      </c>
      <c r="D149">
        <v>42.65258</v>
      </c>
      <c r="E149">
        <v>-73.769170000000003</v>
      </c>
      <c r="F149" t="s">
        <v>22</v>
      </c>
      <c r="G149">
        <v>153</v>
      </c>
      <c r="H149">
        <v>1</v>
      </c>
      <c r="I149">
        <v>59</v>
      </c>
      <c r="J149" s="1">
        <v>46159</v>
      </c>
      <c r="K149">
        <v>1.44</v>
      </c>
      <c r="L149">
        <v>16</v>
      </c>
      <c r="M149">
        <v>311</v>
      </c>
      <c r="N149">
        <v>19</v>
      </c>
      <c r="O149" t="str">
        <f t="shared" si="2"/>
        <v>101-200</v>
      </c>
    </row>
    <row r="150" spans="1:15" x14ac:dyDescent="0.35">
      <c r="A150" t="s">
        <v>256</v>
      </c>
      <c r="B150" t="s">
        <v>257</v>
      </c>
      <c r="C150" t="s">
        <v>34</v>
      </c>
      <c r="D150">
        <v>42.661090000000002</v>
      </c>
      <c r="E150">
        <v>-73.804789999999997</v>
      </c>
      <c r="F150" t="s">
        <v>31</v>
      </c>
      <c r="G150">
        <v>13</v>
      </c>
      <c r="H150">
        <v>90</v>
      </c>
      <c r="I150">
        <v>3</v>
      </c>
      <c r="J150" s="1">
        <v>45260</v>
      </c>
      <c r="K150">
        <v>7.0000000000000007E-2</v>
      </c>
      <c r="L150">
        <v>2</v>
      </c>
      <c r="M150">
        <v>294</v>
      </c>
      <c r="N150">
        <v>0</v>
      </c>
      <c r="O150" t="str">
        <f t="shared" si="2"/>
        <v>0-100</v>
      </c>
    </row>
    <row r="151" spans="1:15" x14ac:dyDescent="0.35">
      <c r="A151" t="s">
        <v>258</v>
      </c>
      <c r="B151" t="s">
        <v>259</v>
      </c>
      <c r="C151" t="s">
        <v>51</v>
      </c>
      <c r="D151">
        <v>42.655006189125302</v>
      </c>
      <c r="E151">
        <v>-73.775701560079995</v>
      </c>
      <c r="F151" t="s">
        <v>22</v>
      </c>
      <c r="G151">
        <v>236</v>
      </c>
      <c r="H151">
        <v>1</v>
      </c>
      <c r="I151">
        <v>80</v>
      </c>
      <c r="J151" s="1">
        <v>46179</v>
      </c>
      <c r="K151">
        <v>1.98</v>
      </c>
      <c r="L151">
        <v>3</v>
      </c>
      <c r="M151">
        <v>355</v>
      </c>
      <c r="N151">
        <v>45</v>
      </c>
      <c r="O151" t="str">
        <f t="shared" si="2"/>
        <v>201-300</v>
      </c>
    </row>
    <row r="152" spans="1:15" x14ac:dyDescent="0.35">
      <c r="A152" t="s">
        <v>260</v>
      </c>
      <c r="B152" t="s">
        <v>261</v>
      </c>
      <c r="C152" t="s">
        <v>37</v>
      </c>
      <c r="D152">
        <v>42.670760000000001</v>
      </c>
      <c r="E152">
        <v>-73.826120000000003</v>
      </c>
      <c r="F152" t="s">
        <v>22</v>
      </c>
      <c r="G152">
        <v>363</v>
      </c>
      <c r="H152">
        <v>2</v>
      </c>
      <c r="I152">
        <v>140</v>
      </c>
      <c r="J152" s="1">
        <v>46187</v>
      </c>
      <c r="K152">
        <v>3.52</v>
      </c>
      <c r="L152">
        <v>1</v>
      </c>
      <c r="M152">
        <v>321</v>
      </c>
      <c r="N152">
        <v>35</v>
      </c>
      <c r="O152" t="str">
        <f t="shared" si="2"/>
        <v>301-500</v>
      </c>
    </row>
    <row r="153" spans="1:15" x14ac:dyDescent="0.35">
      <c r="A153" t="s">
        <v>262</v>
      </c>
      <c r="B153" t="s">
        <v>263</v>
      </c>
      <c r="C153" t="s">
        <v>25</v>
      </c>
      <c r="D153">
        <v>42.660080000000001</v>
      </c>
      <c r="E153">
        <v>-73.769769999999994</v>
      </c>
      <c r="F153" t="s">
        <v>22</v>
      </c>
      <c r="G153">
        <v>137</v>
      </c>
      <c r="H153">
        <v>3</v>
      </c>
      <c r="I153">
        <v>6</v>
      </c>
      <c r="J153" s="1">
        <v>45482</v>
      </c>
      <c r="K153">
        <v>0.18</v>
      </c>
      <c r="L153">
        <v>2</v>
      </c>
      <c r="M153">
        <v>362</v>
      </c>
      <c r="N153">
        <v>0</v>
      </c>
      <c r="O153" t="str">
        <f t="shared" si="2"/>
        <v>101-200</v>
      </c>
    </row>
    <row r="154" spans="1:15" x14ac:dyDescent="0.35">
      <c r="A154" t="s">
        <v>264</v>
      </c>
      <c r="B154" t="s">
        <v>263</v>
      </c>
      <c r="C154" t="s">
        <v>25</v>
      </c>
      <c r="D154">
        <v>42.659869999999998</v>
      </c>
      <c r="E154">
        <v>-73.770250000000004</v>
      </c>
      <c r="F154" t="s">
        <v>22</v>
      </c>
      <c r="G154">
        <v>137</v>
      </c>
      <c r="H154">
        <v>3</v>
      </c>
      <c r="I154">
        <v>12</v>
      </c>
      <c r="J154" s="1">
        <v>45263</v>
      </c>
      <c r="K154">
        <v>0.33</v>
      </c>
      <c r="L154">
        <v>2</v>
      </c>
      <c r="M154">
        <v>357</v>
      </c>
      <c r="N154">
        <v>0</v>
      </c>
      <c r="O154" t="str">
        <f t="shared" si="2"/>
        <v>101-200</v>
      </c>
    </row>
    <row r="155" spans="1:15" x14ac:dyDescent="0.35">
      <c r="A155" t="s">
        <v>265</v>
      </c>
      <c r="B155" t="s">
        <v>33</v>
      </c>
      <c r="C155" t="s">
        <v>25</v>
      </c>
      <c r="D155">
        <v>42.654829999999997</v>
      </c>
      <c r="E155">
        <v>-73.763530000000003</v>
      </c>
      <c r="F155" t="s">
        <v>22</v>
      </c>
      <c r="G155">
        <v>114</v>
      </c>
      <c r="H155">
        <v>14</v>
      </c>
      <c r="I155">
        <v>2</v>
      </c>
      <c r="J155" s="1">
        <v>45173</v>
      </c>
      <c r="K155">
        <v>0.05</v>
      </c>
      <c r="L155">
        <v>11</v>
      </c>
      <c r="M155">
        <v>364</v>
      </c>
      <c r="N155">
        <v>0</v>
      </c>
      <c r="O155" t="str">
        <f t="shared" si="2"/>
        <v>101-200</v>
      </c>
    </row>
    <row r="156" spans="1:15" x14ac:dyDescent="0.35">
      <c r="A156" t="s">
        <v>266</v>
      </c>
      <c r="B156" t="s">
        <v>267</v>
      </c>
      <c r="C156" t="s">
        <v>117</v>
      </c>
      <c r="D156">
        <v>42.635039999999996</v>
      </c>
      <c r="E156">
        <v>-73.798330000000007</v>
      </c>
      <c r="F156" t="s">
        <v>22</v>
      </c>
      <c r="G156">
        <v>587</v>
      </c>
      <c r="H156">
        <v>1</v>
      </c>
      <c r="I156">
        <v>160</v>
      </c>
      <c r="J156" s="1">
        <v>46174</v>
      </c>
      <c r="K156">
        <v>4.07</v>
      </c>
      <c r="L156">
        <v>1</v>
      </c>
      <c r="M156">
        <v>134</v>
      </c>
      <c r="N156">
        <v>44</v>
      </c>
      <c r="O156" t="str">
        <f t="shared" si="2"/>
        <v>500+</v>
      </c>
    </row>
    <row r="157" spans="1:15" x14ac:dyDescent="0.35">
      <c r="A157" t="s">
        <v>268</v>
      </c>
      <c r="B157" t="s">
        <v>269</v>
      </c>
      <c r="C157" t="s">
        <v>270</v>
      </c>
      <c r="D157">
        <v>42.673360000000002</v>
      </c>
      <c r="E157">
        <v>-73.786190000000005</v>
      </c>
      <c r="F157" t="s">
        <v>22</v>
      </c>
      <c r="G157">
        <v>266</v>
      </c>
      <c r="H157">
        <v>2</v>
      </c>
      <c r="I157">
        <v>21</v>
      </c>
      <c r="J157" s="1">
        <v>46159</v>
      </c>
      <c r="K157">
        <v>0.54</v>
      </c>
      <c r="L157">
        <v>2</v>
      </c>
      <c r="M157">
        <v>173</v>
      </c>
      <c r="N157">
        <v>2</v>
      </c>
      <c r="O157" t="str">
        <f t="shared" si="2"/>
        <v>201-300</v>
      </c>
    </row>
    <row r="158" spans="1:15" x14ac:dyDescent="0.35">
      <c r="A158" t="s">
        <v>271</v>
      </c>
      <c r="B158" t="s">
        <v>272</v>
      </c>
      <c r="C158" t="s">
        <v>25</v>
      </c>
      <c r="D158">
        <v>42.654319999999998</v>
      </c>
      <c r="E158">
        <v>-73.765309999999999</v>
      </c>
      <c r="F158" t="s">
        <v>22</v>
      </c>
      <c r="G158">
        <v>236</v>
      </c>
      <c r="H158">
        <v>3</v>
      </c>
      <c r="I158">
        <v>2</v>
      </c>
      <c r="J158" s="1">
        <v>45705</v>
      </c>
      <c r="K158">
        <v>7.0000000000000007E-2</v>
      </c>
      <c r="L158">
        <v>2</v>
      </c>
      <c r="M158">
        <v>233</v>
      </c>
      <c r="N158">
        <v>0</v>
      </c>
      <c r="O158" t="str">
        <f t="shared" si="2"/>
        <v>201-300</v>
      </c>
    </row>
    <row r="159" spans="1:15" x14ac:dyDescent="0.35">
      <c r="A159" t="s">
        <v>273</v>
      </c>
      <c r="B159" t="s">
        <v>274</v>
      </c>
      <c r="C159" t="s">
        <v>28</v>
      </c>
      <c r="D159">
        <v>42.644599999999997</v>
      </c>
      <c r="E159">
        <v>-73.758849999999995</v>
      </c>
      <c r="F159" t="s">
        <v>31</v>
      </c>
      <c r="G159">
        <v>160</v>
      </c>
      <c r="H159">
        <v>1</v>
      </c>
      <c r="I159">
        <v>233</v>
      </c>
      <c r="J159" s="1">
        <v>46187</v>
      </c>
      <c r="K159">
        <v>5.99</v>
      </c>
      <c r="L159">
        <v>1</v>
      </c>
      <c r="M159">
        <v>330</v>
      </c>
      <c r="N159">
        <v>57</v>
      </c>
      <c r="O159" t="str">
        <f t="shared" si="2"/>
        <v>101-200</v>
      </c>
    </row>
    <row r="160" spans="1:15" x14ac:dyDescent="0.35">
      <c r="A160" t="s">
        <v>275</v>
      </c>
      <c r="B160" t="s">
        <v>276</v>
      </c>
      <c r="C160" t="s">
        <v>68</v>
      </c>
      <c r="D160">
        <v>42.671770000000002</v>
      </c>
      <c r="E160">
        <v>-73.794640000000001</v>
      </c>
      <c r="F160" t="s">
        <v>31</v>
      </c>
      <c r="G160">
        <v>97</v>
      </c>
      <c r="H160">
        <v>4</v>
      </c>
      <c r="I160">
        <v>18</v>
      </c>
      <c r="J160" s="1">
        <v>46066</v>
      </c>
      <c r="K160">
        <v>0.51</v>
      </c>
      <c r="L160">
        <v>13</v>
      </c>
      <c r="M160">
        <v>75</v>
      </c>
      <c r="N160">
        <v>2</v>
      </c>
      <c r="O160" t="str">
        <f t="shared" si="2"/>
        <v>0-100</v>
      </c>
    </row>
    <row r="161" spans="1:15" x14ac:dyDescent="0.35">
      <c r="A161" t="s">
        <v>277</v>
      </c>
      <c r="B161" t="s">
        <v>166</v>
      </c>
      <c r="C161" t="s">
        <v>21</v>
      </c>
      <c r="D161">
        <v>42.658169999999998</v>
      </c>
      <c r="E161">
        <v>-73.749350000000007</v>
      </c>
      <c r="F161" t="s">
        <v>22</v>
      </c>
      <c r="G161">
        <v>137</v>
      </c>
      <c r="H161">
        <v>3</v>
      </c>
      <c r="I161">
        <v>30</v>
      </c>
      <c r="J161" s="1">
        <v>46167</v>
      </c>
      <c r="K161">
        <v>0.8</v>
      </c>
      <c r="L161">
        <v>3</v>
      </c>
      <c r="M161">
        <v>339</v>
      </c>
      <c r="N161">
        <v>8</v>
      </c>
      <c r="O161" t="str">
        <f t="shared" si="2"/>
        <v>101-200</v>
      </c>
    </row>
    <row r="162" spans="1:15" x14ac:dyDescent="0.35">
      <c r="A162" t="s">
        <v>278</v>
      </c>
      <c r="B162" t="s">
        <v>257</v>
      </c>
      <c r="C162" t="s">
        <v>34</v>
      </c>
      <c r="D162">
        <v>42.661279999999998</v>
      </c>
      <c r="E162">
        <v>-73.805480000000003</v>
      </c>
      <c r="F162" t="s">
        <v>31</v>
      </c>
      <c r="G162">
        <v>13</v>
      </c>
      <c r="H162">
        <v>90</v>
      </c>
      <c r="I162">
        <v>4</v>
      </c>
      <c r="J162" s="1">
        <v>45353</v>
      </c>
      <c r="K162">
        <v>0.12</v>
      </c>
      <c r="L162">
        <v>2</v>
      </c>
      <c r="M162">
        <v>203</v>
      </c>
      <c r="N162">
        <v>0</v>
      </c>
      <c r="O162" t="str">
        <f t="shared" si="2"/>
        <v>0-100</v>
      </c>
    </row>
    <row r="163" spans="1:15" x14ac:dyDescent="0.35">
      <c r="A163" t="s">
        <v>279</v>
      </c>
      <c r="B163" t="s">
        <v>182</v>
      </c>
      <c r="C163" t="s">
        <v>25</v>
      </c>
      <c r="D163">
        <v>42.653790000000001</v>
      </c>
      <c r="E163">
        <v>-73.769009999999994</v>
      </c>
      <c r="F163" t="s">
        <v>22</v>
      </c>
      <c r="G163">
        <v>144</v>
      </c>
      <c r="H163">
        <v>1</v>
      </c>
      <c r="I163">
        <v>31</v>
      </c>
      <c r="J163" s="1">
        <v>46159</v>
      </c>
      <c r="K163">
        <v>0.81</v>
      </c>
      <c r="L163">
        <v>16</v>
      </c>
      <c r="M163">
        <v>356</v>
      </c>
      <c r="N163">
        <v>11</v>
      </c>
      <c r="O163" t="str">
        <f t="shared" si="2"/>
        <v>101-200</v>
      </c>
    </row>
    <row r="164" spans="1:15" x14ac:dyDescent="0.35">
      <c r="A164" t="s">
        <v>280</v>
      </c>
      <c r="B164" t="s">
        <v>281</v>
      </c>
      <c r="C164" t="s">
        <v>47</v>
      </c>
      <c r="D164">
        <v>42.659973299999997</v>
      </c>
      <c r="E164">
        <v>-73.774743299999997</v>
      </c>
      <c r="F164" t="s">
        <v>22</v>
      </c>
      <c r="G164">
        <v>124</v>
      </c>
      <c r="H164">
        <v>1</v>
      </c>
      <c r="I164">
        <v>79</v>
      </c>
      <c r="J164" s="1">
        <v>46131</v>
      </c>
      <c r="K164">
        <v>2.1</v>
      </c>
      <c r="L164">
        <v>2</v>
      </c>
      <c r="M164">
        <v>206</v>
      </c>
      <c r="N164">
        <v>16</v>
      </c>
      <c r="O164" t="str">
        <f t="shared" si="2"/>
        <v>101-200</v>
      </c>
    </row>
    <row r="165" spans="1:15" x14ac:dyDescent="0.35">
      <c r="A165" t="s">
        <v>282</v>
      </c>
      <c r="B165" t="s">
        <v>283</v>
      </c>
      <c r="C165" t="s">
        <v>21</v>
      </c>
      <c r="D165">
        <v>42.662460000000003</v>
      </c>
      <c r="E165">
        <v>-73.76576</v>
      </c>
      <c r="F165" t="s">
        <v>31</v>
      </c>
      <c r="G165">
        <v>49</v>
      </c>
      <c r="H165">
        <v>7</v>
      </c>
      <c r="I165">
        <v>32</v>
      </c>
      <c r="J165" s="1">
        <v>45968</v>
      </c>
      <c r="K165">
        <v>0.87</v>
      </c>
      <c r="L165">
        <v>2</v>
      </c>
      <c r="M165">
        <v>364</v>
      </c>
      <c r="N165">
        <v>5</v>
      </c>
      <c r="O165" t="str">
        <f t="shared" si="2"/>
        <v>0-100</v>
      </c>
    </row>
    <row r="166" spans="1:15" x14ac:dyDescent="0.35">
      <c r="A166" t="s">
        <v>284</v>
      </c>
      <c r="B166" t="s">
        <v>283</v>
      </c>
      <c r="C166" t="s">
        <v>21</v>
      </c>
      <c r="D166">
        <v>42.662877100000003</v>
      </c>
      <c r="E166">
        <v>-73.765340299999906</v>
      </c>
      <c r="F166" t="s">
        <v>31</v>
      </c>
      <c r="G166">
        <v>50</v>
      </c>
      <c r="H166">
        <v>7</v>
      </c>
      <c r="I166">
        <v>30</v>
      </c>
      <c r="J166" s="1">
        <v>45816</v>
      </c>
      <c r="K166">
        <v>0.8</v>
      </c>
      <c r="L166">
        <v>2</v>
      </c>
      <c r="M166">
        <v>312</v>
      </c>
      <c r="N166">
        <v>0</v>
      </c>
      <c r="O166" t="str">
        <f t="shared" si="2"/>
        <v>0-100</v>
      </c>
    </row>
    <row r="167" spans="1:15" x14ac:dyDescent="0.35">
      <c r="A167" t="s">
        <v>285</v>
      </c>
      <c r="B167" t="s">
        <v>286</v>
      </c>
      <c r="C167" t="s">
        <v>21</v>
      </c>
      <c r="D167">
        <v>42.657299999999999</v>
      </c>
      <c r="E167">
        <v>-73.752099999999999</v>
      </c>
      <c r="F167" t="s">
        <v>22</v>
      </c>
      <c r="G167">
        <v>190</v>
      </c>
      <c r="H167">
        <v>2</v>
      </c>
      <c r="I167">
        <v>19</v>
      </c>
      <c r="J167" s="1">
        <v>46173</v>
      </c>
      <c r="K167">
        <v>0.51</v>
      </c>
      <c r="L167">
        <v>4</v>
      </c>
      <c r="M167">
        <v>354</v>
      </c>
      <c r="N167">
        <v>3</v>
      </c>
      <c r="O167" t="str">
        <f t="shared" si="2"/>
        <v>101-200</v>
      </c>
    </row>
    <row r="168" spans="1:15" x14ac:dyDescent="0.35">
      <c r="A168" t="s">
        <v>287</v>
      </c>
      <c r="B168" t="s">
        <v>288</v>
      </c>
      <c r="C168" t="s">
        <v>47</v>
      </c>
      <c r="D168">
        <v>42.660870000000003</v>
      </c>
      <c r="E168">
        <v>-73.786550000000005</v>
      </c>
      <c r="F168" t="s">
        <v>22</v>
      </c>
      <c r="G168">
        <v>307</v>
      </c>
      <c r="H168">
        <v>2</v>
      </c>
      <c r="I168">
        <v>66</v>
      </c>
      <c r="J168" s="1">
        <v>46180</v>
      </c>
      <c r="K168">
        <v>1.81</v>
      </c>
      <c r="L168">
        <v>1</v>
      </c>
      <c r="M168">
        <v>245</v>
      </c>
      <c r="N168">
        <v>13</v>
      </c>
      <c r="O168" t="str">
        <f t="shared" si="2"/>
        <v>301-500</v>
      </c>
    </row>
    <row r="169" spans="1:15" x14ac:dyDescent="0.35">
      <c r="A169" t="s">
        <v>289</v>
      </c>
      <c r="B169" t="s">
        <v>132</v>
      </c>
      <c r="C169" t="s">
        <v>64</v>
      </c>
      <c r="D169">
        <v>42.647869999999998</v>
      </c>
      <c r="E169">
        <v>-73.767070000000004</v>
      </c>
      <c r="F169" t="s">
        <v>22</v>
      </c>
      <c r="G169">
        <v>257</v>
      </c>
      <c r="H169">
        <v>1</v>
      </c>
      <c r="I169">
        <v>65</v>
      </c>
      <c r="J169" s="1">
        <v>46172</v>
      </c>
      <c r="K169">
        <v>1.78</v>
      </c>
      <c r="L169">
        <v>16</v>
      </c>
      <c r="M169">
        <v>182</v>
      </c>
      <c r="N169">
        <v>15</v>
      </c>
      <c r="O169" t="str">
        <f t="shared" si="2"/>
        <v>201-300</v>
      </c>
    </row>
    <row r="170" spans="1:15" x14ac:dyDescent="0.35">
      <c r="A170" t="s">
        <v>290</v>
      </c>
      <c r="B170" t="s">
        <v>122</v>
      </c>
      <c r="C170" t="s">
        <v>47</v>
      </c>
      <c r="D170">
        <v>42.661740000000002</v>
      </c>
      <c r="E170">
        <v>-73.783249999999995</v>
      </c>
      <c r="F170" t="s">
        <v>31</v>
      </c>
      <c r="G170">
        <v>46</v>
      </c>
      <c r="H170">
        <v>30</v>
      </c>
      <c r="I170">
        <v>2</v>
      </c>
      <c r="J170" s="1">
        <v>46125</v>
      </c>
      <c r="K170">
        <v>0.36</v>
      </c>
      <c r="L170">
        <v>21</v>
      </c>
      <c r="M170">
        <v>325</v>
      </c>
      <c r="N170">
        <v>2</v>
      </c>
      <c r="O170" t="str">
        <f t="shared" si="2"/>
        <v>0-100</v>
      </c>
    </row>
    <row r="171" spans="1:15" x14ac:dyDescent="0.35">
      <c r="A171" t="s">
        <v>291</v>
      </c>
      <c r="B171" t="s">
        <v>36</v>
      </c>
      <c r="C171" t="s">
        <v>68</v>
      </c>
      <c r="D171">
        <v>42.665295899999997</v>
      </c>
      <c r="E171">
        <v>-73.786877799999999</v>
      </c>
      <c r="F171" t="s">
        <v>22</v>
      </c>
      <c r="G171">
        <v>196</v>
      </c>
      <c r="H171">
        <v>1</v>
      </c>
      <c r="I171">
        <v>23</v>
      </c>
      <c r="J171" s="1">
        <v>46005</v>
      </c>
      <c r="K171">
        <v>0.63</v>
      </c>
      <c r="L171">
        <v>8</v>
      </c>
      <c r="M171">
        <v>264</v>
      </c>
      <c r="N171">
        <v>4</v>
      </c>
      <c r="O171" t="str">
        <f t="shared" si="2"/>
        <v>101-200</v>
      </c>
    </row>
    <row r="172" spans="1:15" x14ac:dyDescent="0.35">
      <c r="A172" t="s">
        <v>292</v>
      </c>
      <c r="B172" t="s">
        <v>122</v>
      </c>
      <c r="C172" t="s">
        <v>47</v>
      </c>
      <c r="D172">
        <v>42.662170000000003</v>
      </c>
      <c r="E172">
        <v>-73.782989999999998</v>
      </c>
      <c r="F172" t="s">
        <v>22</v>
      </c>
      <c r="G172">
        <v>300</v>
      </c>
      <c r="H172">
        <v>1</v>
      </c>
      <c r="I172">
        <v>108</v>
      </c>
      <c r="J172" s="1">
        <v>46174</v>
      </c>
      <c r="K172">
        <v>3.03</v>
      </c>
      <c r="L172">
        <v>21</v>
      </c>
      <c r="M172">
        <v>352</v>
      </c>
      <c r="N172">
        <v>40</v>
      </c>
      <c r="O172" t="str">
        <f t="shared" si="2"/>
        <v>201-300</v>
      </c>
    </row>
    <row r="173" spans="1:15" x14ac:dyDescent="0.35">
      <c r="A173" t="s">
        <v>293</v>
      </c>
      <c r="B173" t="s">
        <v>294</v>
      </c>
      <c r="C173" t="s">
        <v>34</v>
      </c>
      <c r="D173">
        <v>42.658720000000002</v>
      </c>
      <c r="E173">
        <v>-73.795550000000006</v>
      </c>
      <c r="F173" t="s">
        <v>22</v>
      </c>
      <c r="G173">
        <v>73</v>
      </c>
      <c r="H173">
        <v>28</v>
      </c>
      <c r="I173">
        <v>7</v>
      </c>
      <c r="J173" s="1">
        <v>46087</v>
      </c>
      <c r="K173">
        <v>0.2</v>
      </c>
      <c r="L173">
        <v>1</v>
      </c>
      <c r="M173">
        <v>273</v>
      </c>
      <c r="N173">
        <v>3</v>
      </c>
      <c r="O173" t="str">
        <f t="shared" si="2"/>
        <v>0-100</v>
      </c>
    </row>
    <row r="174" spans="1:15" x14ac:dyDescent="0.35">
      <c r="A174" t="s">
        <v>295</v>
      </c>
      <c r="B174" t="s">
        <v>230</v>
      </c>
      <c r="C174" t="s">
        <v>47</v>
      </c>
      <c r="D174">
        <v>42.662610000000001</v>
      </c>
      <c r="E174">
        <v>-73.791579999999996</v>
      </c>
      <c r="F174" t="s">
        <v>31</v>
      </c>
      <c r="G174">
        <v>92</v>
      </c>
      <c r="H174">
        <v>1</v>
      </c>
      <c r="I174">
        <v>18</v>
      </c>
      <c r="J174" s="1">
        <v>46068</v>
      </c>
      <c r="K174">
        <v>0.5</v>
      </c>
      <c r="L174">
        <v>2</v>
      </c>
      <c r="M174">
        <v>36</v>
      </c>
      <c r="N174">
        <v>8</v>
      </c>
      <c r="O174" t="str">
        <f t="shared" si="2"/>
        <v>0-100</v>
      </c>
    </row>
    <row r="175" spans="1:15" x14ac:dyDescent="0.35">
      <c r="A175" t="s">
        <v>296</v>
      </c>
      <c r="B175" t="s">
        <v>297</v>
      </c>
      <c r="C175" t="s">
        <v>54</v>
      </c>
      <c r="D175">
        <v>42.672919999999998</v>
      </c>
      <c r="E175">
        <v>-73.777600000000007</v>
      </c>
      <c r="F175" t="s">
        <v>31</v>
      </c>
      <c r="G175">
        <v>107</v>
      </c>
      <c r="H175">
        <v>1</v>
      </c>
      <c r="I175">
        <v>0</v>
      </c>
      <c r="K175">
        <v>0</v>
      </c>
      <c r="L175">
        <v>1</v>
      </c>
      <c r="M175">
        <v>364</v>
      </c>
      <c r="N175">
        <v>0</v>
      </c>
      <c r="O175" t="str">
        <f t="shared" si="2"/>
        <v>101-200</v>
      </c>
    </row>
    <row r="176" spans="1:15" x14ac:dyDescent="0.35">
      <c r="A176" t="s">
        <v>298</v>
      </c>
      <c r="B176" t="s">
        <v>299</v>
      </c>
      <c r="C176" t="s">
        <v>21</v>
      </c>
      <c r="D176">
        <v>42.6586</v>
      </c>
      <c r="E176">
        <v>-73.757429999999999</v>
      </c>
      <c r="F176" t="s">
        <v>22</v>
      </c>
      <c r="G176">
        <v>103</v>
      </c>
      <c r="H176">
        <v>7</v>
      </c>
      <c r="I176">
        <v>3</v>
      </c>
      <c r="J176" s="1">
        <v>45647</v>
      </c>
      <c r="K176">
        <v>0.09</v>
      </c>
      <c r="L176">
        <v>4</v>
      </c>
      <c r="M176">
        <v>268</v>
      </c>
      <c r="N176">
        <v>0</v>
      </c>
      <c r="O176" t="str">
        <f t="shared" si="2"/>
        <v>101-200</v>
      </c>
    </row>
    <row r="177" spans="1:15" x14ac:dyDescent="0.35">
      <c r="A177" t="s">
        <v>302</v>
      </c>
      <c r="B177" t="s">
        <v>95</v>
      </c>
      <c r="C177" t="s">
        <v>68</v>
      </c>
      <c r="D177">
        <v>42.672240000000002</v>
      </c>
      <c r="E177">
        <v>-73.793009999999995</v>
      </c>
      <c r="F177" t="s">
        <v>22</v>
      </c>
      <c r="G177">
        <v>172</v>
      </c>
      <c r="H177">
        <v>2</v>
      </c>
      <c r="I177">
        <v>52</v>
      </c>
      <c r="J177" s="1">
        <v>46158</v>
      </c>
      <c r="K177">
        <v>1.47</v>
      </c>
      <c r="L177">
        <v>14</v>
      </c>
      <c r="M177">
        <v>10</v>
      </c>
      <c r="N177">
        <v>11</v>
      </c>
      <c r="O177" t="str">
        <f t="shared" si="2"/>
        <v>101-200</v>
      </c>
    </row>
    <row r="178" spans="1:15" x14ac:dyDescent="0.35">
      <c r="A178" t="s">
        <v>303</v>
      </c>
      <c r="B178" t="s">
        <v>243</v>
      </c>
      <c r="C178" t="s">
        <v>25</v>
      </c>
      <c r="D178">
        <v>42.656550000000003</v>
      </c>
      <c r="E178">
        <v>-73.774339999999995</v>
      </c>
      <c r="F178" t="s">
        <v>31</v>
      </c>
      <c r="G178">
        <v>167</v>
      </c>
      <c r="H178">
        <v>1</v>
      </c>
      <c r="I178">
        <v>10</v>
      </c>
      <c r="J178" s="1">
        <v>46158</v>
      </c>
      <c r="K178">
        <v>0.28000000000000003</v>
      </c>
      <c r="L178">
        <v>6</v>
      </c>
      <c r="M178">
        <v>178</v>
      </c>
      <c r="N178">
        <v>2</v>
      </c>
      <c r="O178" t="str">
        <f t="shared" si="2"/>
        <v>101-200</v>
      </c>
    </row>
    <row r="179" spans="1:15" x14ac:dyDescent="0.35">
      <c r="A179" t="s">
        <v>304</v>
      </c>
      <c r="B179" t="s">
        <v>305</v>
      </c>
      <c r="C179" t="s">
        <v>25</v>
      </c>
      <c r="D179">
        <v>42.658670000000001</v>
      </c>
      <c r="E179">
        <v>-73.774789999999996</v>
      </c>
      <c r="F179" t="s">
        <v>31</v>
      </c>
      <c r="G179">
        <v>174</v>
      </c>
      <c r="H179">
        <v>1</v>
      </c>
      <c r="I179">
        <v>3</v>
      </c>
      <c r="J179" s="1">
        <v>46131</v>
      </c>
      <c r="K179">
        <v>0.09</v>
      </c>
      <c r="L179">
        <v>11</v>
      </c>
      <c r="M179">
        <v>189</v>
      </c>
      <c r="N179">
        <v>1</v>
      </c>
      <c r="O179" t="str">
        <f t="shared" si="2"/>
        <v>101-200</v>
      </c>
    </row>
    <row r="180" spans="1:15" x14ac:dyDescent="0.35">
      <c r="A180" t="s">
        <v>306</v>
      </c>
      <c r="B180" t="s">
        <v>305</v>
      </c>
      <c r="C180" t="s">
        <v>47</v>
      </c>
      <c r="D180">
        <v>42.659080000000003</v>
      </c>
      <c r="E180">
        <v>-73.774559999999994</v>
      </c>
      <c r="F180" t="s">
        <v>31</v>
      </c>
      <c r="G180">
        <v>174</v>
      </c>
      <c r="H180">
        <v>1</v>
      </c>
      <c r="I180">
        <v>9</v>
      </c>
      <c r="J180" s="1">
        <v>45871</v>
      </c>
      <c r="K180">
        <v>0.26</v>
      </c>
      <c r="L180">
        <v>11</v>
      </c>
      <c r="M180">
        <v>147</v>
      </c>
      <c r="N180">
        <v>2</v>
      </c>
      <c r="O180" t="str">
        <f t="shared" si="2"/>
        <v>101-200</v>
      </c>
    </row>
    <row r="181" spans="1:15" x14ac:dyDescent="0.35">
      <c r="A181" t="s">
        <v>307</v>
      </c>
      <c r="B181" t="s">
        <v>305</v>
      </c>
      <c r="C181" t="s">
        <v>47</v>
      </c>
      <c r="D181">
        <v>42.660429999999998</v>
      </c>
      <c r="E181">
        <v>-73.774320000000003</v>
      </c>
      <c r="F181" t="s">
        <v>31</v>
      </c>
      <c r="G181">
        <v>174</v>
      </c>
      <c r="H181">
        <v>1</v>
      </c>
      <c r="I181">
        <v>3</v>
      </c>
      <c r="J181" s="1">
        <v>45848</v>
      </c>
      <c r="K181">
        <v>0.14000000000000001</v>
      </c>
      <c r="L181">
        <v>11</v>
      </c>
      <c r="M181">
        <v>188</v>
      </c>
      <c r="N181">
        <v>1</v>
      </c>
      <c r="O181" t="str">
        <f t="shared" si="2"/>
        <v>101-200</v>
      </c>
    </row>
    <row r="182" spans="1:15" x14ac:dyDescent="0.35">
      <c r="A182" t="s">
        <v>308</v>
      </c>
      <c r="B182" t="s">
        <v>305</v>
      </c>
      <c r="C182" t="s">
        <v>25</v>
      </c>
      <c r="D182">
        <v>42.658470000000001</v>
      </c>
      <c r="E182">
        <v>-73.772720000000007</v>
      </c>
      <c r="F182" t="s">
        <v>31</v>
      </c>
      <c r="G182">
        <v>174</v>
      </c>
      <c r="H182">
        <v>1</v>
      </c>
      <c r="I182">
        <v>7</v>
      </c>
      <c r="J182" s="1">
        <v>46144</v>
      </c>
      <c r="K182">
        <v>0.22</v>
      </c>
      <c r="L182">
        <v>11</v>
      </c>
      <c r="M182">
        <v>190</v>
      </c>
      <c r="N182">
        <v>1</v>
      </c>
      <c r="O182" t="str">
        <f t="shared" si="2"/>
        <v>101-200</v>
      </c>
    </row>
    <row r="183" spans="1:15" x14ac:dyDescent="0.35">
      <c r="A183" t="s">
        <v>309</v>
      </c>
      <c r="B183" t="s">
        <v>305</v>
      </c>
      <c r="C183" t="s">
        <v>25</v>
      </c>
      <c r="D183">
        <v>42.659080000000003</v>
      </c>
      <c r="E183">
        <v>-73.773259999999993</v>
      </c>
      <c r="F183" t="s">
        <v>31</v>
      </c>
      <c r="G183">
        <v>292</v>
      </c>
      <c r="H183">
        <v>1</v>
      </c>
      <c r="I183">
        <v>4</v>
      </c>
      <c r="J183" s="1">
        <v>46082</v>
      </c>
      <c r="K183">
        <v>0.13</v>
      </c>
      <c r="L183">
        <v>11</v>
      </c>
      <c r="M183">
        <v>182</v>
      </c>
      <c r="N183">
        <v>2</v>
      </c>
      <c r="O183" t="str">
        <f t="shared" si="2"/>
        <v>201-300</v>
      </c>
    </row>
    <row r="184" spans="1:15" x14ac:dyDescent="0.35">
      <c r="A184" t="s">
        <v>310</v>
      </c>
      <c r="B184" t="s">
        <v>305</v>
      </c>
      <c r="C184" t="s">
        <v>47</v>
      </c>
      <c r="D184">
        <v>42.660029999999999</v>
      </c>
      <c r="E184">
        <v>-73.773200000000003</v>
      </c>
      <c r="F184" t="s">
        <v>31</v>
      </c>
      <c r="G184">
        <v>280</v>
      </c>
      <c r="H184">
        <v>1</v>
      </c>
      <c r="I184">
        <v>2</v>
      </c>
      <c r="J184" s="1">
        <v>46086</v>
      </c>
      <c r="K184">
        <v>0.19</v>
      </c>
      <c r="L184">
        <v>11</v>
      </c>
      <c r="M184">
        <v>184</v>
      </c>
      <c r="N184">
        <v>2</v>
      </c>
      <c r="O184" t="str">
        <f t="shared" si="2"/>
        <v>201-300</v>
      </c>
    </row>
    <row r="185" spans="1:15" x14ac:dyDescent="0.35">
      <c r="A185" t="s">
        <v>311</v>
      </c>
      <c r="B185" t="s">
        <v>305</v>
      </c>
      <c r="C185" t="s">
        <v>25</v>
      </c>
      <c r="D185">
        <v>42.658569999999997</v>
      </c>
      <c r="E185">
        <v>-73.7744</v>
      </c>
      <c r="F185" t="s">
        <v>31</v>
      </c>
      <c r="G185">
        <v>241</v>
      </c>
      <c r="H185">
        <v>1</v>
      </c>
      <c r="I185">
        <v>0</v>
      </c>
      <c r="K185">
        <v>0</v>
      </c>
      <c r="L185">
        <v>11</v>
      </c>
      <c r="M185">
        <v>185</v>
      </c>
      <c r="N185">
        <v>0</v>
      </c>
      <c r="O185" t="str">
        <f t="shared" si="2"/>
        <v>201-300</v>
      </c>
    </row>
    <row r="186" spans="1:15" x14ac:dyDescent="0.35">
      <c r="A186" t="s">
        <v>312</v>
      </c>
      <c r="B186" t="s">
        <v>305</v>
      </c>
      <c r="C186" t="s">
        <v>25</v>
      </c>
      <c r="D186">
        <v>42.658929999999998</v>
      </c>
      <c r="E186">
        <v>-73.774479999999997</v>
      </c>
      <c r="F186" t="s">
        <v>31</v>
      </c>
      <c r="G186">
        <v>241</v>
      </c>
      <c r="H186">
        <v>1</v>
      </c>
      <c r="I186">
        <v>0</v>
      </c>
      <c r="K186">
        <v>0</v>
      </c>
      <c r="L186">
        <v>11</v>
      </c>
      <c r="M186">
        <v>187</v>
      </c>
      <c r="N186">
        <v>0</v>
      </c>
      <c r="O186" t="str">
        <f t="shared" si="2"/>
        <v>201-300</v>
      </c>
    </row>
    <row r="187" spans="1:15" x14ac:dyDescent="0.35">
      <c r="A187" t="s">
        <v>313</v>
      </c>
      <c r="B187" t="s">
        <v>305</v>
      </c>
      <c r="C187" t="s">
        <v>47</v>
      </c>
      <c r="D187">
        <v>42.66037</v>
      </c>
      <c r="E187">
        <v>-73.773269999999997</v>
      </c>
      <c r="F187" t="s">
        <v>31</v>
      </c>
      <c r="G187">
        <v>241</v>
      </c>
      <c r="H187">
        <v>1</v>
      </c>
      <c r="I187">
        <v>0</v>
      </c>
      <c r="K187">
        <v>0</v>
      </c>
      <c r="L187">
        <v>11</v>
      </c>
      <c r="M187">
        <v>190</v>
      </c>
      <c r="N187">
        <v>0</v>
      </c>
      <c r="O187" t="str">
        <f t="shared" si="2"/>
        <v>201-300</v>
      </c>
    </row>
    <row r="188" spans="1:15" x14ac:dyDescent="0.35">
      <c r="A188" t="s">
        <v>314</v>
      </c>
      <c r="B188" t="s">
        <v>305</v>
      </c>
      <c r="C188" t="s">
        <v>25</v>
      </c>
      <c r="D188">
        <v>42.658679999999997</v>
      </c>
      <c r="E188">
        <v>-73.773330000000001</v>
      </c>
      <c r="F188" t="s">
        <v>31</v>
      </c>
      <c r="G188">
        <v>331</v>
      </c>
      <c r="H188">
        <v>1</v>
      </c>
      <c r="I188">
        <v>0</v>
      </c>
      <c r="K188">
        <v>0</v>
      </c>
      <c r="L188">
        <v>11</v>
      </c>
      <c r="M188">
        <v>187</v>
      </c>
      <c r="N188">
        <v>0</v>
      </c>
      <c r="O188" t="str">
        <f t="shared" si="2"/>
        <v>301-500</v>
      </c>
    </row>
    <row r="189" spans="1:15" x14ac:dyDescent="0.35">
      <c r="A189" t="s">
        <v>315</v>
      </c>
      <c r="B189" t="s">
        <v>305</v>
      </c>
      <c r="C189" t="s">
        <v>47</v>
      </c>
      <c r="D189">
        <v>42.660359999999997</v>
      </c>
      <c r="E189">
        <v>-73.772900000000007</v>
      </c>
      <c r="F189" t="s">
        <v>22</v>
      </c>
      <c r="G189">
        <v>431</v>
      </c>
      <c r="H189">
        <v>1</v>
      </c>
      <c r="I189">
        <v>19</v>
      </c>
      <c r="J189" s="1">
        <v>46075</v>
      </c>
      <c r="K189">
        <v>0.55000000000000004</v>
      </c>
      <c r="L189">
        <v>11</v>
      </c>
      <c r="M189">
        <v>181</v>
      </c>
      <c r="N189">
        <v>3</v>
      </c>
      <c r="O189" t="str">
        <f t="shared" si="2"/>
        <v>301-500</v>
      </c>
    </row>
    <row r="190" spans="1:15" x14ac:dyDescent="0.35">
      <c r="A190" t="s">
        <v>316</v>
      </c>
      <c r="B190" t="s">
        <v>254</v>
      </c>
      <c r="C190" t="s">
        <v>40</v>
      </c>
      <c r="D190">
        <v>42.670836700000002</v>
      </c>
      <c r="E190">
        <v>-73.7853116</v>
      </c>
      <c r="F190" t="s">
        <v>31</v>
      </c>
      <c r="G190">
        <v>76</v>
      </c>
      <c r="H190">
        <v>5</v>
      </c>
      <c r="I190">
        <v>27</v>
      </c>
      <c r="J190" s="1">
        <v>45915</v>
      </c>
      <c r="K190">
        <v>0.77</v>
      </c>
      <c r="L190">
        <v>5</v>
      </c>
      <c r="M190">
        <v>334</v>
      </c>
      <c r="N190">
        <v>1</v>
      </c>
      <c r="O190" t="str">
        <f t="shared" si="2"/>
        <v>0-100</v>
      </c>
    </row>
    <row r="191" spans="1:15" x14ac:dyDescent="0.35">
      <c r="A191" t="s">
        <v>317</v>
      </c>
      <c r="B191" t="s">
        <v>254</v>
      </c>
      <c r="C191" t="s">
        <v>68</v>
      </c>
      <c r="D191">
        <v>42.669739999999997</v>
      </c>
      <c r="E191">
        <v>-73.786109999999994</v>
      </c>
      <c r="F191" t="s">
        <v>31</v>
      </c>
      <c r="G191">
        <v>61</v>
      </c>
      <c r="H191">
        <v>5</v>
      </c>
      <c r="I191">
        <v>49</v>
      </c>
      <c r="J191" s="1">
        <v>46132</v>
      </c>
      <c r="K191">
        <v>1.39</v>
      </c>
      <c r="L191">
        <v>5</v>
      </c>
      <c r="M191">
        <v>334</v>
      </c>
      <c r="N191">
        <v>13</v>
      </c>
      <c r="O191" t="str">
        <f t="shared" si="2"/>
        <v>0-100</v>
      </c>
    </row>
    <row r="192" spans="1:15" x14ac:dyDescent="0.35">
      <c r="A192" t="s">
        <v>318</v>
      </c>
      <c r="B192" t="s">
        <v>254</v>
      </c>
      <c r="C192" t="s">
        <v>40</v>
      </c>
      <c r="D192">
        <v>42.670340000000003</v>
      </c>
      <c r="E192">
        <v>-73.7851</v>
      </c>
      <c r="F192" t="s">
        <v>31</v>
      </c>
      <c r="G192">
        <v>72</v>
      </c>
      <c r="H192">
        <v>5</v>
      </c>
      <c r="I192">
        <v>23</v>
      </c>
      <c r="J192" s="1">
        <v>46179</v>
      </c>
      <c r="K192">
        <v>0.78</v>
      </c>
      <c r="L192">
        <v>5</v>
      </c>
      <c r="M192">
        <v>345</v>
      </c>
      <c r="N192">
        <v>4</v>
      </c>
      <c r="O192" t="str">
        <f t="shared" si="2"/>
        <v>0-100</v>
      </c>
    </row>
    <row r="193" spans="1:15" x14ac:dyDescent="0.35">
      <c r="A193" t="s">
        <v>319</v>
      </c>
      <c r="B193" t="s">
        <v>166</v>
      </c>
      <c r="C193" t="s">
        <v>25</v>
      </c>
      <c r="D193">
        <v>42.6541815</v>
      </c>
      <c r="E193">
        <v>-73.760860499999893</v>
      </c>
      <c r="F193" t="s">
        <v>22</v>
      </c>
      <c r="G193">
        <v>287</v>
      </c>
      <c r="H193">
        <v>1</v>
      </c>
      <c r="I193">
        <v>259</v>
      </c>
      <c r="J193" s="1">
        <v>46180</v>
      </c>
      <c r="K193">
        <v>7.52</v>
      </c>
      <c r="L193">
        <v>2</v>
      </c>
      <c r="M193">
        <v>313</v>
      </c>
      <c r="N193">
        <v>84</v>
      </c>
      <c r="O193" t="str">
        <f t="shared" si="2"/>
        <v>201-300</v>
      </c>
    </row>
    <row r="194" spans="1:15" x14ac:dyDescent="0.35">
      <c r="A194" t="s">
        <v>322</v>
      </c>
      <c r="B194" t="s">
        <v>323</v>
      </c>
      <c r="C194" t="s">
        <v>25</v>
      </c>
      <c r="D194">
        <v>42.652410000000003</v>
      </c>
      <c r="E194">
        <v>-73.770020000000002</v>
      </c>
      <c r="F194" t="s">
        <v>22</v>
      </c>
      <c r="G194">
        <v>184</v>
      </c>
      <c r="H194">
        <v>1</v>
      </c>
      <c r="I194">
        <v>139</v>
      </c>
      <c r="J194" s="1">
        <v>46170</v>
      </c>
      <c r="K194">
        <v>4.08</v>
      </c>
      <c r="L194">
        <v>1</v>
      </c>
      <c r="M194">
        <v>335</v>
      </c>
      <c r="N194">
        <v>38</v>
      </c>
      <c r="O194" t="str">
        <f t="shared" ref="O194:O257" si="3">IF(G194&lt;=100,"0-100",
IF(G194&lt;=200,"101-200",
IF(G194&lt;=300,"201-300",
IF(G194&lt;=500,"301-500","500+"))))</f>
        <v>101-200</v>
      </c>
    </row>
    <row r="195" spans="1:15" x14ac:dyDescent="0.35">
      <c r="A195" t="s">
        <v>326</v>
      </c>
      <c r="B195" t="s">
        <v>327</v>
      </c>
      <c r="C195" t="s">
        <v>37</v>
      </c>
      <c r="D195">
        <v>42.670589999999997</v>
      </c>
      <c r="E195">
        <v>-73.816779999999994</v>
      </c>
      <c r="F195" t="s">
        <v>22</v>
      </c>
      <c r="G195">
        <v>160</v>
      </c>
      <c r="H195">
        <v>3</v>
      </c>
      <c r="I195">
        <v>28</v>
      </c>
      <c r="J195" s="1">
        <v>46008</v>
      </c>
      <c r="K195">
        <v>0.84</v>
      </c>
      <c r="L195">
        <v>1</v>
      </c>
      <c r="M195">
        <v>164</v>
      </c>
      <c r="N195">
        <v>7</v>
      </c>
      <c r="O195" t="str">
        <f t="shared" si="3"/>
        <v>101-200</v>
      </c>
    </row>
    <row r="196" spans="1:15" x14ac:dyDescent="0.35">
      <c r="A196" t="s">
        <v>328</v>
      </c>
      <c r="B196" t="s">
        <v>141</v>
      </c>
      <c r="C196" t="s">
        <v>34</v>
      </c>
      <c r="D196">
        <v>42.668770000000002</v>
      </c>
      <c r="E196">
        <v>-73.799270000000007</v>
      </c>
      <c r="F196" t="s">
        <v>31</v>
      </c>
      <c r="G196">
        <v>90</v>
      </c>
      <c r="H196">
        <v>1</v>
      </c>
      <c r="I196">
        <v>165</v>
      </c>
      <c r="J196" s="1">
        <v>46174</v>
      </c>
      <c r="K196">
        <v>5.16</v>
      </c>
      <c r="L196">
        <v>12</v>
      </c>
      <c r="M196">
        <v>14</v>
      </c>
      <c r="N196">
        <v>37</v>
      </c>
      <c r="O196" t="str">
        <f t="shared" si="3"/>
        <v>0-100</v>
      </c>
    </row>
    <row r="197" spans="1:15" x14ac:dyDescent="0.35">
      <c r="A197" t="s">
        <v>329</v>
      </c>
      <c r="B197" t="s">
        <v>330</v>
      </c>
      <c r="C197" t="s">
        <v>25</v>
      </c>
      <c r="D197">
        <v>42.653127750013901</v>
      </c>
      <c r="E197">
        <v>-73.769504651427198</v>
      </c>
      <c r="F197" t="s">
        <v>22</v>
      </c>
      <c r="G197">
        <v>177</v>
      </c>
      <c r="H197">
        <v>1</v>
      </c>
      <c r="I197">
        <v>42</v>
      </c>
      <c r="J197" s="1">
        <v>46178</v>
      </c>
      <c r="K197">
        <v>1.29</v>
      </c>
      <c r="L197">
        <v>1</v>
      </c>
      <c r="M197">
        <v>295</v>
      </c>
      <c r="N197">
        <v>17</v>
      </c>
      <c r="O197" t="str">
        <f t="shared" si="3"/>
        <v>101-200</v>
      </c>
    </row>
    <row r="198" spans="1:15" x14ac:dyDescent="0.35">
      <c r="A198" t="s">
        <v>331</v>
      </c>
      <c r="B198" t="s">
        <v>332</v>
      </c>
      <c r="C198" t="s">
        <v>54</v>
      </c>
      <c r="D198">
        <v>42.66628</v>
      </c>
      <c r="E198">
        <v>-73.765119999999996</v>
      </c>
      <c r="F198" t="s">
        <v>22</v>
      </c>
      <c r="G198">
        <v>209</v>
      </c>
      <c r="H198">
        <v>2</v>
      </c>
      <c r="I198">
        <v>7</v>
      </c>
      <c r="J198" s="1">
        <v>45963</v>
      </c>
      <c r="K198">
        <v>0.22</v>
      </c>
      <c r="L198">
        <v>1</v>
      </c>
      <c r="M198">
        <v>107</v>
      </c>
      <c r="N198">
        <v>2</v>
      </c>
      <c r="O198" t="str">
        <f t="shared" si="3"/>
        <v>201-300</v>
      </c>
    </row>
    <row r="199" spans="1:15" x14ac:dyDescent="0.35">
      <c r="A199" t="s">
        <v>333</v>
      </c>
      <c r="B199" t="s">
        <v>334</v>
      </c>
      <c r="C199" t="s">
        <v>21</v>
      </c>
      <c r="D199">
        <v>42.655155158516301</v>
      </c>
      <c r="E199">
        <v>-73.760525826474293</v>
      </c>
      <c r="F199" t="s">
        <v>22</v>
      </c>
      <c r="G199">
        <v>109</v>
      </c>
      <c r="H199">
        <v>30</v>
      </c>
      <c r="I199">
        <v>10</v>
      </c>
      <c r="J199" s="1">
        <v>46054</v>
      </c>
      <c r="K199">
        <v>0.3</v>
      </c>
      <c r="L199">
        <v>1</v>
      </c>
      <c r="M199">
        <v>218</v>
      </c>
      <c r="N199">
        <v>3</v>
      </c>
      <c r="O199" t="str">
        <f t="shared" si="3"/>
        <v>101-200</v>
      </c>
    </row>
    <row r="200" spans="1:15" x14ac:dyDescent="0.35">
      <c r="A200" t="s">
        <v>335</v>
      </c>
      <c r="B200" t="s">
        <v>297</v>
      </c>
      <c r="C200" t="s">
        <v>25</v>
      </c>
      <c r="D200">
        <v>42.652599240074899</v>
      </c>
      <c r="E200">
        <v>-73.761780139996006</v>
      </c>
      <c r="F200" t="s">
        <v>22</v>
      </c>
      <c r="G200">
        <v>144</v>
      </c>
      <c r="H200">
        <v>1</v>
      </c>
      <c r="I200">
        <v>43</v>
      </c>
      <c r="J200" s="1">
        <v>46155</v>
      </c>
      <c r="K200">
        <v>1.47</v>
      </c>
      <c r="L200">
        <v>1</v>
      </c>
      <c r="M200">
        <v>69</v>
      </c>
      <c r="N200">
        <v>24</v>
      </c>
      <c r="O200" t="str">
        <f t="shared" si="3"/>
        <v>101-200</v>
      </c>
    </row>
    <row r="201" spans="1:15" x14ac:dyDescent="0.35">
      <c r="A201" t="s">
        <v>336</v>
      </c>
      <c r="B201" t="s">
        <v>72</v>
      </c>
      <c r="C201" t="s">
        <v>34</v>
      </c>
      <c r="D201">
        <v>42.67098</v>
      </c>
      <c r="E201">
        <v>-73.806950000000001</v>
      </c>
      <c r="F201" t="s">
        <v>22</v>
      </c>
      <c r="G201">
        <v>177</v>
      </c>
      <c r="H201">
        <v>3</v>
      </c>
      <c r="I201">
        <v>37</v>
      </c>
      <c r="J201" s="1">
        <v>46166</v>
      </c>
      <c r="K201">
        <v>1.1299999999999999</v>
      </c>
      <c r="L201">
        <v>9</v>
      </c>
      <c r="M201">
        <v>264</v>
      </c>
      <c r="N201">
        <v>19</v>
      </c>
      <c r="O201" t="str">
        <f t="shared" si="3"/>
        <v>101-200</v>
      </c>
    </row>
    <row r="202" spans="1:15" x14ac:dyDescent="0.35">
      <c r="A202" t="s">
        <v>337</v>
      </c>
      <c r="B202" t="s">
        <v>213</v>
      </c>
      <c r="C202" t="s">
        <v>64</v>
      </c>
      <c r="D202">
        <v>42.644856870964603</v>
      </c>
      <c r="E202">
        <v>-73.772818811696197</v>
      </c>
      <c r="F202" t="s">
        <v>22</v>
      </c>
      <c r="G202">
        <v>625</v>
      </c>
      <c r="H202">
        <v>2</v>
      </c>
      <c r="I202">
        <v>24</v>
      </c>
      <c r="J202" s="1">
        <v>46185</v>
      </c>
      <c r="K202">
        <v>0.84</v>
      </c>
      <c r="L202">
        <v>3</v>
      </c>
      <c r="M202">
        <v>127</v>
      </c>
      <c r="N202">
        <v>14</v>
      </c>
      <c r="O202" t="str">
        <f t="shared" si="3"/>
        <v>500+</v>
      </c>
    </row>
    <row r="203" spans="1:15" x14ac:dyDescent="0.35">
      <c r="A203" t="s">
        <v>340</v>
      </c>
      <c r="B203" t="s">
        <v>341</v>
      </c>
      <c r="C203" t="s">
        <v>21</v>
      </c>
      <c r="D203">
        <v>42.657620000000001</v>
      </c>
      <c r="E203">
        <v>-73.751159999999999</v>
      </c>
      <c r="F203" t="s">
        <v>22</v>
      </c>
      <c r="G203">
        <v>161</v>
      </c>
      <c r="H203">
        <v>1</v>
      </c>
      <c r="I203">
        <v>59</v>
      </c>
      <c r="J203" s="1">
        <v>46158</v>
      </c>
      <c r="K203">
        <v>1.82</v>
      </c>
      <c r="L203">
        <v>2</v>
      </c>
      <c r="M203">
        <v>253</v>
      </c>
      <c r="N203">
        <v>24</v>
      </c>
      <c r="O203" t="str">
        <f t="shared" si="3"/>
        <v>101-200</v>
      </c>
    </row>
    <row r="204" spans="1:15" x14ac:dyDescent="0.35">
      <c r="A204" t="s">
        <v>342</v>
      </c>
      <c r="B204" t="s">
        <v>343</v>
      </c>
      <c r="C204" t="s">
        <v>84</v>
      </c>
      <c r="D204">
        <v>42.655500000000004</v>
      </c>
      <c r="E204">
        <v>-73.810659999999999</v>
      </c>
      <c r="F204" t="s">
        <v>22</v>
      </c>
      <c r="G204">
        <v>258</v>
      </c>
      <c r="H204">
        <v>2</v>
      </c>
      <c r="I204">
        <v>97</v>
      </c>
      <c r="J204" s="1">
        <v>46173</v>
      </c>
      <c r="K204">
        <v>3.42</v>
      </c>
      <c r="L204">
        <v>1</v>
      </c>
      <c r="M204">
        <v>215</v>
      </c>
      <c r="N204">
        <v>41</v>
      </c>
      <c r="O204" t="str">
        <f t="shared" si="3"/>
        <v>201-300</v>
      </c>
    </row>
    <row r="205" spans="1:15" x14ac:dyDescent="0.35">
      <c r="A205" t="s">
        <v>344</v>
      </c>
      <c r="B205" t="s">
        <v>87</v>
      </c>
      <c r="C205" t="s">
        <v>28</v>
      </c>
      <c r="D205">
        <v>42.645348899999902</v>
      </c>
      <c r="E205">
        <v>-73.753646500000002</v>
      </c>
      <c r="F205" t="s">
        <v>22</v>
      </c>
      <c r="G205">
        <v>355</v>
      </c>
      <c r="H205">
        <v>1</v>
      </c>
      <c r="I205">
        <v>106</v>
      </c>
      <c r="J205" s="1">
        <v>46155</v>
      </c>
      <c r="K205">
        <v>3.31</v>
      </c>
      <c r="L205">
        <v>11</v>
      </c>
      <c r="M205">
        <v>352</v>
      </c>
      <c r="N205">
        <v>39</v>
      </c>
      <c r="O205" t="str">
        <f t="shared" si="3"/>
        <v>301-500</v>
      </c>
    </row>
    <row r="206" spans="1:15" x14ac:dyDescent="0.35">
      <c r="A206" t="s">
        <v>346</v>
      </c>
      <c r="B206" t="s">
        <v>141</v>
      </c>
      <c r="C206" t="s">
        <v>68</v>
      </c>
      <c r="D206">
        <v>42.670029999999997</v>
      </c>
      <c r="E206">
        <v>-73.797709999999995</v>
      </c>
      <c r="F206" t="s">
        <v>31</v>
      </c>
      <c r="G206">
        <v>80</v>
      </c>
      <c r="H206">
        <v>1</v>
      </c>
      <c r="I206">
        <v>75</v>
      </c>
      <c r="J206" s="1">
        <v>46142</v>
      </c>
      <c r="K206">
        <v>2.35</v>
      </c>
      <c r="L206">
        <v>12</v>
      </c>
      <c r="M206">
        <v>18</v>
      </c>
      <c r="N206">
        <v>11</v>
      </c>
      <c r="O206" t="str">
        <f t="shared" si="3"/>
        <v>0-100</v>
      </c>
    </row>
    <row r="207" spans="1:15" x14ac:dyDescent="0.35">
      <c r="A207" t="s">
        <v>347</v>
      </c>
      <c r="B207" t="s">
        <v>141</v>
      </c>
      <c r="C207" t="s">
        <v>68</v>
      </c>
      <c r="D207">
        <v>42.669710000000002</v>
      </c>
      <c r="E207">
        <v>-73.797550000000001</v>
      </c>
      <c r="F207" t="s">
        <v>31</v>
      </c>
      <c r="G207">
        <v>84</v>
      </c>
      <c r="H207">
        <v>1</v>
      </c>
      <c r="I207">
        <v>113</v>
      </c>
      <c r="J207" s="1">
        <v>46171</v>
      </c>
      <c r="K207">
        <v>3.55</v>
      </c>
      <c r="L207">
        <v>12</v>
      </c>
      <c r="M207">
        <v>10</v>
      </c>
      <c r="N207">
        <v>42</v>
      </c>
      <c r="O207" t="str">
        <f t="shared" si="3"/>
        <v>0-100</v>
      </c>
    </row>
    <row r="208" spans="1:15" x14ac:dyDescent="0.35">
      <c r="A208" t="s">
        <v>348</v>
      </c>
      <c r="B208" t="s">
        <v>141</v>
      </c>
      <c r="C208" t="s">
        <v>34</v>
      </c>
      <c r="D208">
        <v>42.668066082320202</v>
      </c>
      <c r="E208">
        <v>-73.798249470274499</v>
      </c>
      <c r="F208" t="s">
        <v>31</v>
      </c>
      <c r="G208">
        <v>73</v>
      </c>
      <c r="H208">
        <v>1</v>
      </c>
      <c r="I208">
        <v>19</v>
      </c>
      <c r="J208" s="1">
        <v>46165</v>
      </c>
      <c r="K208">
        <v>0.59</v>
      </c>
      <c r="L208">
        <v>12</v>
      </c>
      <c r="M208">
        <v>3</v>
      </c>
      <c r="N208">
        <v>17</v>
      </c>
      <c r="O208" t="str">
        <f t="shared" si="3"/>
        <v>0-100</v>
      </c>
    </row>
    <row r="209" spans="1:15" x14ac:dyDescent="0.35">
      <c r="A209" t="s">
        <v>349</v>
      </c>
      <c r="B209" t="s">
        <v>141</v>
      </c>
      <c r="C209" t="s">
        <v>68</v>
      </c>
      <c r="D209">
        <v>42.669899245465501</v>
      </c>
      <c r="E209">
        <v>-73.797703105761101</v>
      </c>
      <c r="F209" t="s">
        <v>22</v>
      </c>
      <c r="G209">
        <v>1265</v>
      </c>
      <c r="H209">
        <v>1</v>
      </c>
      <c r="I209">
        <v>11</v>
      </c>
      <c r="J209" s="1">
        <v>46172</v>
      </c>
      <c r="K209">
        <v>1.76</v>
      </c>
      <c r="L209">
        <v>12</v>
      </c>
      <c r="M209">
        <v>337</v>
      </c>
      <c r="N209">
        <v>11</v>
      </c>
      <c r="O209" t="str">
        <f t="shared" si="3"/>
        <v>500+</v>
      </c>
    </row>
    <row r="210" spans="1:15" x14ac:dyDescent="0.35">
      <c r="A210" t="s">
        <v>350</v>
      </c>
      <c r="B210" t="s">
        <v>141</v>
      </c>
      <c r="C210" t="s">
        <v>34</v>
      </c>
      <c r="D210">
        <v>42.668729999999996</v>
      </c>
      <c r="E210">
        <v>-73.799300000000002</v>
      </c>
      <c r="F210" t="s">
        <v>31</v>
      </c>
      <c r="G210">
        <v>86</v>
      </c>
      <c r="H210">
        <v>1</v>
      </c>
      <c r="I210">
        <v>53</v>
      </c>
      <c r="J210" s="1">
        <v>46129</v>
      </c>
      <c r="K210">
        <v>1.67</v>
      </c>
      <c r="L210">
        <v>12</v>
      </c>
      <c r="M210">
        <v>9</v>
      </c>
      <c r="N210">
        <v>31</v>
      </c>
      <c r="O210" t="str">
        <f t="shared" si="3"/>
        <v>0-100</v>
      </c>
    </row>
    <row r="211" spans="1:15" x14ac:dyDescent="0.35">
      <c r="A211" t="s">
        <v>351</v>
      </c>
      <c r="B211" t="s">
        <v>352</v>
      </c>
      <c r="C211" t="s">
        <v>51</v>
      </c>
      <c r="D211">
        <v>42.6558992</v>
      </c>
      <c r="E211">
        <v>-73.796569899999994</v>
      </c>
      <c r="F211" t="s">
        <v>31</v>
      </c>
      <c r="G211">
        <v>35</v>
      </c>
      <c r="H211">
        <v>1</v>
      </c>
      <c r="I211">
        <v>0</v>
      </c>
      <c r="K211">
        <v>0</v>
      </c>
      <c r="L211">
        <v>1</v>
      </c>
      <c r="M211">
        <v>88</v>
      </c>
      <c r="N211">
        <v>0</v>
      </c>
      <c r="O211" t="str">
        <f t="shared" si="3"/>
        <v>0-100</v>
      </c>
    </row>
    <row r="212" spans="1:15" x14ac:dyDescent="0.35">
      <c r="A212" t="s">
        <v>353</v>
      </c>
      <c r="B212" t="s">
        <v>354</v>
      </c>
      <c r="C212" t="s">
        <v>25</v>
      </c>
      <c r="D212">
        <v>42.655389999999997</v>
      </c>
      <c r="E212">
        <v>-73.764160000000004</v>
      </c>
      <c r="F212" t="s">
        <v>22</v>
      </c>
      <c r="G212">
        <v>199</v>
      </c>
      <c r="H212">
        <v>1</v>
      </c>
      <c r="I212">
        <v>62</v>
      </c>
      <c r="J212" s="1">
        <v>46171</v>
      </c>
      <c r="K212">
        <v>1.95</v>
      </c>
      <c r="L212">
        <v>5</v>
      </c>
      <c r="M212">
        <v>58</v>
      </c>
      <c r="N212">
        <v>21</v>
      </c>
      <c r="O212" t="str">
        <f t="shared" si="3"/>
        <v>101-200</v>
      </c>
    </row>
    <row r="213" spans="1:15" x14ac:dyDescent="0.35">
      <c r="A213" t="s">
        <v>355</v>
      </c>
      <c r="B213" t="s">
        <v>141</v>
      </c>
      <c r="C213" t="s">
        <v>34</v>
      </c>
      <c r="D213">
        <v>42.667920312986197</v>
      </c>
      <c r="E213">
        <v>-73.798957606712094</v>
      </c>
      <c r="F213" t="s">
        <v>31</v>
      </c>
      <c r="G213">
        <v>75</v>
      </c>
      <c r="H213">
        <v>1</v>
      </c>
      <c r="I213">
        <v>54</v>
      </c>
      <c r="J213" s="1">
        <v>46171</v>
      </c>
      <c r="K213">
        <v>1.72</v>
      </c>
      <c r="L213">
        <v>12</v>
      </c>
      <c r="M213">
        <v>10</v>
      </c>
      <c r="N213">
        <v>37</v>
      </c>
      <c r="O213" t="str">
        <f t="shared" si="3"/>
        <v>0-100</v>
      </c>
    </row>
    <row r="214" spans="1:15" x14ac:dyDescent="0.35">
      <c r="A214" t="s">
        <v>356</v>
      </c>
      <c r="B214" t="s">
        <v>141</v>
      </c>
      <c r="C214" t="s">
        <v>68</v>
      </c>
      <c r="D214">
        <v>42.669960000000003</v>
      </c>
      <c r="E214">
        <v>-73.798159999999996</v>
      </c>
      <c r="F214" t="s">
        <v>31</v>
      </c>
      <c r="G214">
        <v>86</v>
      </c>
      <c r="H214">
        <v>1</v>
      </c>
      <c r="I214">
        <v>110</v>
      </c>
      <c r="J214" s="1">
        <v>46175</v>
      </c>
      <c r="K214">
        <v>3.48</v>
      </c>
      <c r="L214">
        <v>12</v>
      </c>
      <c r="M214">
        <v>9</v>
      </c>
      <c r="N214">
        <v>21</v>
      </c>
      <c r="O214" t="str">
        <f t="shared" si="3"/>
        <v>0-100</v>
      </c>
    </row>
    <row r="215" spans="1:15" x14ac:dyDescent="0.35">
      <c r="A215" t="s">
        <v>357</v>
      </c>
      <c r="B215" t="s">
        <v>182</v>
      </c>
      <c r="C215" t="s">
        <v>25</v>
      </c>
      <c r="D215">
        <v>42.653500000000001</v>
      </c>
      <c r="E215">
        <v>-73.77046</v>
      </c>
      <c r="F215" t="s">
        <v>22</v>
      </c>
      <c r="G215">
        <v>164</v>
      </c>
      <c r="H215">
        <v>1</v>
      </c>
      <c r="I215">
        <v>71</v>
      </c>
      <c r="J215" s="1">
        <v>46166</v>
      </c>
      <c r="K215">
        <v>2.2599999999999998</v>
      </c>
      <c r="L215">
        <v>16</v>
      </c>
      <c r="M215">
        <v>334</v>
      </c>
      <c r="N215">
        <v>11</v>
      </c>
      <c r="O215" t="str">
        <f t="shared" si="3"/>
        <v>101-200</v>
      </c>
    </row>
    <row r="216" spans="1:15" x14ac:dyDescent="0.35">
      <c r="A216" t="s">
        <v>358</v>
      </c>
      <c r="B216" t="s">
        <v>359</v>
      </c>
      <c r="C216" t="s">
        <v>28</v>
      </c>
      <c r="D216">
        <v>42.64714</v>
      </c>
      <c r="E216">
        <v>-73.754660000000001</v>
      </c>
      <c r="F216" t="s">
        <v>22</v>
      </c>
      <c r="G216">
        <v>123</v>
      </c>
      <c r="H216">
        <v>1</v>
      </c>
      <c r="I216">
        <v>219</v>
      </c>
      <c r="J216" s="1">
        <v>46177</v>
      </c>
      <c r="K216">
        <v>7.12</v>
      </c>
      <c r="L216">
        <v>8</v>
      </c>
      <c r="M216">
        <v>231</v>
      </c>
      <c r="N216">
        <v>75</v>
      </c>
      <c r="O216" t="str">
        <f t="shared" si="3"/>
        <v>101-200</v>
      </c>
    </row>
    <row r="217" spans="1:15" x14ac:dyDescent="0.35">
      <c r="A217" t="s">
        <v>360</v>
      </c>
      <c r="B217" t="s">
        <v>132</v>
      </c>
      <c r="C217" t="s">
        <v>21</v>
      </c>
      <c r="D217">
        <v>42.6586</v>
      </c>
      <c r="E217">
        <v>-73.764210000000006</v>
      </c>
      <c r="F217" t="s">
        <v>22</v>
      </c>
      <c r="G217">
        <v>216</v>
      </c>
      <c r="H217">
        <v>1</v>
      </c>
      <c r="I217">
        <v>30</v>
      </c>
      <c r="J217" s="1">
        <v>46115</v>
      </c>
      <c r="K217">
        <v>0.96</v>
      </c>
      <c r="L217">
        <v>16</v>
      </c>
      <c r="M217">
        <v>190</v>
      </c>
      <c r="N217">
        <v>9</v>
      </c>
      <c r="O217" t="str">
        <f t="shared" si="3"/>
        <v>201-300</v>
      </c>
    </row>
    <row r="218" spans="1:15" x14ac:dyDescent="0.35">
      <c r="A218" t="s">
        <v>361</v>
      </c>
      <c r="B218" t="s">
        <v>132</v>
      </c>
      <c r="C218" t="s">
        <v>21</v>
      </c>
      <c r="D218">
        <v>42.659709999999997</v>
      </c>
      <c r="E218">
        <v>-73.763819999999996</v>
      </c>
      <c r="F218" t="s">
        <v>22</v>
      </c>
      <c r="G218">
        <v>216</v>
      </c>
      <c r="H218">
        <v>1</v>
      </c>
      <c r="I218">
        <v>37</v>
      </c>
      <c r="J218" s="1">
        <v>46181</v>
      </c>
      <c r="K218">
        <v>1.19</v>
      </c>
      <c r="L218">
        <v>16</v>
      </c>
      <c r="M218">
        <v>1</v>
      </c>
      <c r="N218">
        <v>8</v>
      </c>
      <c r="O218" t="str">
        <f t="shared" si="3"/>
        <v>201-300</v>
      </c>
    </row>
    <row r="219" spans="1:15" x14ac:dyDescent="0.35">
      <c r="A219" t="s">
        <v>363</v>
      </c>
      <c r="B219" t="s">
        <v>364</v>
      </c>
      <c r="C219" t="s">
        <v>28</v>
      </c>
      <c r="D219">
        <v>42.639760000000003</v>
      </c>
      <c r="E219">
        <v>-73.757050000000007</v>
      </c>
      <c r="F219" t="s">
        <v>22</v>
      </c>
      <c r="G219">
        <v>171</v>
      </c>
      <c r="H219">
        <v>1</v>
      </c>
      <c r="I219">
        <v>31</v>
      </c>
      <c r="J219" s="1">
        <v>46167</v>
      </c>
      <c r="K219">
        <v>1.0900000000000001</v>
      </c>
      <c r="L219">
        <v>1</v>
      </c>
      <c r="M219">
        <v>347</v>
      </c>
      <c r="N219">
        <v>12</v>
      </c>
      <c r="O219" t="str">
        <f t="shared" si="3"/>
        <v>101-200</v>
      </c>
    </row>
    <row r="220" spans="1:15" x14ac:dyDescent="0.35">
      <c r="A220" t="s">
        <v>365</v>
      </c>
      <c r="B220" t="s">
        <v>366</v>
      </c>
      <c r="C220" t="s">
        <v>117</v>
      </c>
      <c r="D220">
        <v>42.640810000000002</v>
      </c>
      <c r="E220">
        <v>-73.774630000000002</v>
      </c>
      <c r="F220" t="s">
        <v>22</v>
      </c>
      <c r="G220">
        <v>93</v>
      </c>
      <c r="H220">
        <v>30</v>
      </c>
      <c r="I220">
        <v>9</v>
      </c>
      <c r="J220" s="1">
        <v>45765</v>
      </c>
      <c r="K220">
        <v>0.3</v>
      </c>
      <c r="L220">
        <v>1</v>
      </c>
      <c r="M220">
        <v>257</v>
      </c>
      <c r="N220">
        <v>0</v>
      </c>
      <c r="O220" t="str">
        <f t="shared" si="3"/>
        <v>0-100</v>
      </c>
    </row>
    <row r="221" spans="1:15" x14ac:dyDescent="0.35">
      <c r="A221" t="s">
        <v>369</v>
      </c>
      <c r="B221" t="s">
        <v>87</v>
      </c>
      <c r="C221" t="s">
        <v>28</v>
      </c>
      <c r="D221">
        <v>42.644179999999999</v>
      </c>
      <c r="E221">
        <v>-73.753159999999994</v>
      </c>
      <c r="F221" t="s">
        <v>22</v>
      </c>
      <c r="G221">
        <v>531</v>
      </c>
      <c r="H221">
        <v>1</v>
      </c>
      <c r="I221">
        <v>24</v>
      </c>
      <c r="J221" s="1">
        <v>46173</v>
      </c>
      <c r="K221">
        <v>0.85</v>
      </c>
      <c r="L221">
        <v>11</v>
      </c>
      <c r="M221">
        <v>351</v>
      </c>
      <c r="N221">
        <v>6</v>
      </c>
      <c r="O221" t="str">
        <f t="shared" si="3"/>
        <v>500+</v>
      </c>
    </row>
    <row r="222" spans="1:15" x14ac:dyDescent="0.35">
      <c r="A222" t="s">
        <v>370</v>
      </c>
      <c r="B222" t="s">
        <v>276</v>
      </c>
      <c r="C222" t="s">
        <v>68</v>
      </c>
      <c r="D222">
        <v>42.670960000000001</v>
      </c>
      <c r="E222">
        <v>-73.795140000000004</v>
      </c>
      <c r="F222" t="s">
        <v>31</v>
      </c>
      <c r="G222">
        <v>82</v>
      </c>
      <c r="H222">
        <v>4</v>
      </c>
      <c r="I222">
        <v>17</v>
      </c>
      <c r="J222" s="1">
        <v>46162</v>
      </c>
      <c r="K222">
        <v>0.59</v>
      </c>
      <c r="L222">
        <v>13</v>
      </c>
      <c r="M222">
        <v>72</v>
      </c>
      <c r="N222">
        <v>5</v>
      </c>
      <c r="O222" t="str">
        <f t="shared" si="3"/>
        <v>0-100</v>
      </c>
    </row>
    <row r="223" spans="1:15" x14ac:dyDescent="0.35">
      <c r="A223" t="s">
        <v>372</v>
      </c>
      <c r="B223" t="s">
        <v>299</v>
      </c>
      <c r="C223" t="s">
        <v>21</v>
      </c>
      <c r="D223">
        <v>42.659750000000003</v>
      </c>
      <c r="E223">
        <v>-73.763109999999998</v>
      </c>
      <c r="F223" t="s">
        <v>22</v>
      </c>
      <c r="G223">
        <v>88</v>
      </c>
      <c r="H223">
        <v>14</v>
      </c>
      <c r="I223">
        <v>1</v>
      </c>
      <c r="J223" s="1">
        <v>45620</v>
      </c>
      <c r="K223">
        <v>0.05</v>
      </c>
      <c r="L223">
        <v>4</v>
      </c>
      <c r="M223">
        <v>268</v>
      </c>
      <c r="N223">
        <v>0</v>
      </c>
      <c r="O223" t="str">
        <f t="shared" si="3"/>
        <v>0-100</v>
      </c>
    </row>
    <row r="224" spans="1:15" x14ac:dyDescent="0.35">
      <c r="A224" t="s">
        <v>373</v>
      </c>
      <c r="B224" t="s">
        <v>95</v>
      </c>
      <c r="C224" t="s">
        <v>28</v>
      </c>
      <c r="D224">
        <v>42.644089999999998</v>
      </c>
      <c r="E224">
        <v>-73.757090000000005</v>
      </c>
      <c r="F224" t="s">
        <v>22</v>
      </c>
      <c r="G224">
        <v>131</v>
      </c>
      <c r="H224">
        <v>2</v>
      </c>
      <c r="I224">
        <v>98</v>
      </c>
      <c r="J224" s="1">
        <v>46170</v>
      </c>
      <c r="K224">
        <v>3.5</v>
      </c>
      <c r="L224">
        <v>14</v>
      </c>
      <c r="M224">
        <v>77</v>
      </c>
      <c r="N224">
        <v>32</v>
      </c>
      <c r="O224" t="str">
        <f t="shared" si="3"/>
        <v>101-200</v>
      </c>
    </row>
    <row r="225" spans="1:15" x14ac:dyDescent="0.35">
      <c r="A225" t="s">
        <v>374</v>
      </c>
      <c r="B225" t="s">
        <v>95</v>
      </c>
      <c r="C225" t="s">
        <v>25</v>
      </c>
      <c r="D225">
        <v>42.65269</v>
      </c>
      <c r="E225">
        <v>-73.76567</v>
      </c>
      <c r="F225" t="s">
        <v>22</v>
      </c>
      <c r="G225">
        <v>132</v>
      </c>
      <c r="H225">
        <v>2</v>
      </c>
      <c r="I225">
        <v>70</v>
      </c>
      <c r="J225" s="1">
        <v>46162</v>
      </c>
      <c r="K225">
        <v>2.5299999999999998</v>
      </c>
      <c r="L225">
        <v>14</v>
      </c>
      <c r="M225">
        <v>37</v>
      </c>
      <c r="N225">
        <v>21</v>
      </c>
      <c r="O225" t="str">
        <f t="shared" si="3"/>
        <v>101-200</v>
      </c>
    </row>
    <row r="226" spans="1:15" x14ac:dyDescent="0.35">
      <c r="A226" t="s">
        <v>375</v>
      </c>
      <c r="B226" t="s">
        <v>72</v>
      </c>
      <c r="C226" t="s">
        <v>34</v>
      </c>
      <c r="D226">
        <v>42.670079999999999</v>
      </c>
      <c r="E226">
        <v>-73.806910000000002</v>
      </c>
      <c r="F226" t="s">
        <v>22</v>
      </c>
      <c r="G226">
        <v>148</v>
      </c>
      <c r="H226">
        <v>3</v>
      </c>
      <c r="I226">
        <v>51</v>
      </c>
      <c r="J226" s="1">
        <v>46104</v>
      </c>
      <c r="K226">
        <v>1.93</v>
      </c>
      <c r="L226">
        <v>9</v>
      </c>
      <c r="M226">
        <v>257</v>
      </c>
      <c r="N226">
        <v>21</v>
      </c>
      <c r="O226" t="str">
        <f t="shared" si="3"/>
        <v>101-200</v>
      </c>
    </row>
    <row r="227" spans="1:15" x14ac:dyDescent="0.35">
      <c r="A227" t="s">
        <v>376</v>
      </c>
      <c r="B227" t="s">
        <v>182</v>
      </c>
      <c r="C227" t="s">
        <v>25</v>
      </c>
      <c r="D227">
        <v>42.652889999999999</v>
      </c>
      <c r="E227">
        <v>-73.768339999999995</v>
      </c>
      <c r="F227" t="s">
        <v>22</v>
      </c>
      <c r="G227">
        <v>181</v>
      </c>
      <c r="H227">
        <v>1</v>
      </c>
      <c r="I227">
        <v>67</v>
      </c>
      <c r="J227" s="1">
        <v>46159</v>
      </c>
      <c r="K227">
        <v>2.42</v>
      </c>
      <c r="L227">
        <v>16</v>
      </c>
      <c r="M227">
        <v>360</v>
      </c>
      <c r="N227">
        <v>17</v>
      </c>
      <c r="O227" t="str">
        <f t="shared" si="3"/>
        <v>101-200</v>
      </c>
    </row>
    <row r="228" spans="1:15" x14ac:dyDescent="0.35">
      <c r="A228" t="s">
        <v>377</v>
      </c>
      <c r="B228" t="s">
        <v>141</v>
      </c>
      <c r="C228" t="s">
        <v>68</v>
      </c>
      <c r="D228">
        <v>42.669429999999998</v>
      </c>
      <c r="E228">
        <v>-73.798820000000006</v>
      </c>
      <c r="F228" t="s">
        <v>31</v>
      </c>
      <c r="G228">
        <v>97</v>
      </c>
      <c r="H228">
        <v>1</v>
      </c>
      <c r="I228">
        <v>56</v>
      </c>
      <c r="J228" s="1">
        <v>45951</v>
      </c>
      <c r="K228">
        <v>2.02</v>
      </c>
      <c r="L228">
        <v>12</v>
      </c>
      <c r="M228">
        <v>13</v>
      </c>
      <c r="N228">
        <v>7</v>
      </c>
      <c r="O228" t="str">
        <f t="shared" si="3"/>
        <v>0-100</v>
      </c>
    </row>
    <row r="229" spans="1:15" x14ac:dyDescent="0.35">
      <c r="A229" t="s">
        <v>380</v>
      </c>
      <c r="B229" t="s">
        <v>381</v>
      </c>
      <c r="C229" t="s">
        <v>21</v>
      </c>
      <c r="D229">
        <v>42.656446899999999</v>
      </c>
      <c r="E229">
        <v>-73.750725099999997</v>
      </c>
      <c r="F229" t="s">
        <v>22</v>
      </c>
      <c r="G229">
        <v>125</v>
      </c>
      <c r="H229">
        <v>2</v>
      </c>
      <c r="I229">
        <v>27</v>
      </c>
      <c r="J229" s="1">
        <v>46103</v>
      </c>
      <c r="K229">
        <v>0.99</v>
      </c>
      <c r="L229">
        <v>2</v>
      </c>
      <c r="M229">
        <v>189</v>
      </c>
      <c r="N229">
        <v>15</v>
      </c>
      <c r="O229" t="str">
        <f t="shared" si="3"/>
        <v>101-200</v>
      </c>
    </row>
    <row r="230" spans="1:15" x14ac:dyDescent="0.35">
      <c r="A230" t="s">
        <v>382</v>
      </c>
      <c r="B230" t="s">
        <v>383</v>
      </c>
      <c r="C230" t="s">
        <v>34</v>
      </c>
      <c r="D230">
        <v>42.664314400282102</v>
      </c>
      <c r="E230">
        <v>-73.816066542649693</v>
      </c>
      <c r="F230" t="s">
        <v>22</v>
      </c>
      <c r="G230">
        <v>118</v>
      </c>
      <c r="H230">
        <v>3</v>
      </c>
      <c r="I230">
        <v>3</v>
      </c>
      <c r="J230" s="1">
        <v>46094</v>
      </c>
      <c r="K230">
        <v>0.83</v>
      </c>
      <c r="L230">
        <v>1</v>
      </c>
      <c r="M230">
        <v>112</v>
      </c>
      <c r="N230">
        <v>3</v>
      </c>
      <c r="O230" t="str">
        <f t="shared" si="3"/>
        <v>101-200</v>
      </c>
    </row>
    <row r="231" spans="1:15" x14ac:dyDescent="0.35">
      <c r="A231" t="s">
        <v>384</v>
      </c>
      <c r="B231" t="s">
        <v>385</v>
      </c>
      <c r="C231" t="s">
        <v>25</v>
      </c>
      <c r="D231">
        <v>42.653480000000002</v>
      </c>
      <c r="E231">
        <v>-73.7637</v>
      </c>
      <c r="F231" t="s">
        <v>22</v>
      </c>
      <c r="G231">
        <v>195</v>
      </c>
      <c r="H231">
        <v>1</v>
      </c>
      <c r="I231">
        <v>30</v>
      </c>
      <c r="J231" s="1">
        <v>46151</v>
      </c>
      <c r="K231">
        <v>1.1200000000000001</v>
      </c>
      <c r="L231">
        <v>2</v>
      </c>
      <c r="M231">
        <v>266</v>
      </c>
      <c r="N231">
        <v>15</v>
      </c>
      <c r="O231" t="str">
        <f t="shared" si="3"/>
        <v>101-200</v>
      </c>
    </row>
    <row r="232" spans="1:15" x14ac:dyDescent="0.35">
      <c r="A232" t="s">
        <v>386</v>
      </c>
      <c r="B232" t="s">
        <v>385</v>
      </c>
      <c r="C232" t="s">
        <v>25</v>
      </c>
      <c r="D232">
        <v>42.651940000000003</v>
      </c>
      <c r="E232">
        <v>-73.765259999999998</v>
      </c>
      <c r="F232" t="s">
        <v>22</v>
      </c>
      <c r="G232">
        <v>210</v>
      </c>
      <c r="H232">
        <v>1</v>
      </c>
      <c r="I232">
        <v>36</v>
      </c>
      <c r="J232" s="1">
        <v>46170</v>
      </c>
      <c r="K232">
        <v>1.34</v>
      </c>
      <c r="L232">
        <v>2</v>
      </c>
      <c r="M232">
        <v>266</v>
      </c>
      <c r="N232">
        <v>8</v>
      </c>
      <c r="O232" t="str">
        <f t="shared" si="3"/>
        <v>201-300</v>
      </c>
    </row>
    <row r="233" spans="1:15" x14ac:dyDescent="0.35">
      <c r="A233" t="s">
        <v>387</v>
      </c>
      <c r="B233" t="s">
        <v>272</v>
      </c>
      <c r="C233" t="s">
        <v>25</v>
      </c>
      <c r="D233">
        <v>42.65314</v>
      </c>
      <c r="E233">
        <v>-73.765460000000004</v>
      </c>
      <c r="F233" t="s">
        <v>22</v>
      </c>
      <c r="G233">
        <v>314</v>
      </c>
      <c r="H233">
        <v>2</v>
      </c>
      <c r="I233">
        <v>6</v>
      </c>
      <c r="J233" s="1">
        <v>45706</v>
      </c>
      <c r="K233">
        <v>0.22</v>
      </c>
      <c r="L233">
        <v>2</v>
      </c>
      <c r="M233">
        <v>161</v>
      </c>
      <c r="N233">
        <v>0</v>
      </c>
      <c r="O233" t="str">
        <f t="shared" si="3"/>
        <v>301-500</v>
      </c>
    </row>
    <row r="234" spans="1:15" x14ac:dyDescent="0.35">
      <c r="A234" t="s">
        <v>388</v>
      </c>
      <c r="B234" t="s">
        <v>389</v>
      </c>
      <c r="C234" t="s">
        <v>37</v>
      </c>
      <c r="D234">
        <v>42.66901</v>
      </c>
      <c r="E234">
        <v>-73.824020000000004</v>
      </c>
      <c r="F234" t="s">
        <v>22</v>
      </c>
      <c r="G234">
        <v>219</v>
      </c>
      <c r="H234">
        <v>2</v>
      </c>
      <c r="I234">
        <v>89</v>
      </c>
      <c r="J234" s="1">
        <v>46168</v>
      </c>
      <c r="K234">
        <v>3.38</v>
      </c>
      <c r="L234">
        <v>3</v>
      </c>
      <c r="M234">
        <v>293</v>
      </c>
      <c r="N234">
        <v>39</v>
      </c>
      <c r="O234" t="str">
        <f t="shared" si="3"/>
        <v>201-300</v>
      </c>
    </row>
    <row r="235" spans="1:15" x14ac:dyDescent="0.35">
      <c r="A235" t="s">
        <v>390</v>
      </c>
      <c r="B235" t="s">
        <v>391</v>
      </c>
      <c r="C235" t="s">
        <v>28</v>
      </c>
      <c r="D235">
        <v>42.646031999999998</v>
      </c>
      <c r="E235">
        <v>-73.760481999999996</v>
      </c>
      <c r="F235" t="s">
        <v>22</v>
      </c>
      <c r="G235">
        <v>116</v>
      </c>
      <c r="H235">
        <v>3</v>
      </c>
      <c r="I235">
        <v>7</v>
      </c>
      <c r="J235" s="1">
        <v>46151</v>
      </c>
      <c r="K235">
        <v>0.28000000000000003</v>
      </c>
      <c r="L235">
        <v>2</v>
      </c>
      <c r="M235">
        <v>216</v>
      </c>
      <c r="N235">
        <v>3</v>
      </c>
      <c r="O235" t="str">
        <f t="shared" si="3"/>
        <v>101-200</v>
      </c>
    </row>
    <row r="236" spans="1:15" x14ac:dyDescent="0.35">
      <c r="A236" t="s">
        <v>392</v>
      </c>
      <c r="B236" t="s">
        <v>391</v>
      </c>
      <c r="C236" t="s">
        <v>28</v>
      </c>
      <c r="D236">
        <v>42.646031999999998</v>
      </c>
      <c r="E236">
        <v>-73.760481999999996</v>
      </c>
      <c r="F236" t="s">
        <v>22</v>
      </c>
      <c r="G236">
        <v>137</v>
      </c>
      <c r="H236">
        <v>5</v>
      </c>
      <c r="I236">
        <v>8</v>
      </c>
      <c r="J236" s="1">
        <v>46079</v>
      </c>
      <c r="K236">
        <v>0.3</v>
      </c>
      <c r="L236">
        <v>2</v>
      </c>
      <c r="M236">
        <v>83</v>
      </c>
      <c r="N236">
        <v>3</v>
      </c>
      <c r="O236" t="str">
        <f t="shared" si="3"/>
        <v>101-200</v>
      </c>
    </row>
    <row r="237" spans="1:15" x14ac:dyDescent="0.35">
      <c r="A237" t="s">
        <v>393</v>
      </c>
      <c r="B237" t="s">
        <v>394</v>
      </c>
      <c r="C237" t="s">
        <v>64</v>
      </c>
      <c r="D237">
        <v>42.64893</v>
      </c>
      <c r="E237">
        <v>-73.768860000000004</v>
      </c>
      <c r="F237" t="s">
        <v>22</v>
      </c>
      <c r="G237">
        <v>86</v>
      </c>
      <c r="H237">
        <v>25</v>
      </c>
      <c r="I237">
        <v>2</v>
      </c>
      <c r="J237" s="1">
        <v>45507</v>
      </c>
      <c r="K237">
        <v>0.08</v>
      </c>
      <c r="L237">
        <v>2</v>
      </c>
      <c r="M237">
        <v>210</v>
      </c>
      <c r="N237">
        <v>0</v>
      </c>
      <c r="O237" t="str">
        <f t="shared" si="3"/>
        <v>0-100</v>
      </c>
    </row>
    <row r="238" spans="1:15" x14ac:dyDescent="0.35">
      <c r="A238" t="s">
        <v>395</v>
      </c>
      <c r="B238" t="s">
        <v>396</v>
      </c>
      <c r="C238" t="s">
        <v>37</v>
      </c>
      <c r="D238">
        <v>42.674853495878402</v>
      </c>
      <c r="E238">
        <v>-73.816924450926194</v>
      </c>
      <c r="F238" t="s">
        <v>22</v>
      </c>
      <c r="G238">
        <v>206</v>
      </c>
      <c r="H238">
        <v>1</v>
      </c>
      <c r="I238">
        <v>122</v>
      </c>
      <c r="J238" s="1">
        <v>46186</v>
      </c>
      <c r="K238">
        <v>5.41</v>
      </c>
      <c r="L238">
        <v>1</v>
      </c>
      <c r="M238">
        <v>328</v>
      </c>
      <c r="N238">
        <v>71</v>
      </c>
      <c r="O238" t="str">
        <f t="shared" si="3"/>
        <v>201-300</v>
      </c>
    </row>
    <row r="239" spans="1:15" x14ac:dyDescent="0.35">
      <c r="A239" t="s">
        <v>397</v>
      </c>
      <c r="B239" t="s">
        <v>299</v>
      </c>
      <c r="C239" t="s">
        <v>21</v>
      </c>
      <c r="D239">
        <v>42.659089999999999</v>
      </c>
      <c r="E239">
        <v>-73.756910000000005</v>
      </c>
      <c r="F239" t="s">
        <v>22</v>
      </c>
      <c r="G239">
        <v>90</v>
      </c>
      <c r="H239">
        <v>14</v>
      </c>
      <c r="I239">
        <v>2</v>
      </c>
      <c r="J239" s="1">
        <v>45792</v>
      </c>
      <c r="K239">
        <v>0.08</v>
      </c>
      <c r="L239">
        <v>4</v>
      </c>
      <c r="M239">
        <v>268</v>
      </c>
      <c r="N239">
        <v>0</v>
      </c>
      <c r="O239" t="str">
        <f t="shared" si="3"/>
        <v>0-100</v>
      </c>
    </row>
    <row r="240" spans="1:15" x14ac:dyDescent="0.35">
      <c r="A240" t="s">
        <v>398</v>
      </c>
      <c r="B240" t="s">
        <v>399</v>
      </c>
      <c r="C240" t="s">
        <v>68</v>
      </c>
      <c r="D240">
        <v>42.668961400000001</v>
      </c>
      <c r="E240">
        <v>-73.789037899999997</v>
      </c>
      <c r="F240" t="s">
        <v>31</v>
      </c>
      <c r="G240">
        <v>46</v>
      </c>
      <c r="H240">
        <v>28</v>
      </c>
      <c r="I240">
        <v>0</v>
      </c>
      <c r="K240">
        <v>0</v>
      </c>
      <c r="L240">
        <v>6</v>
      </c>
      <c r="M240">
        <v>235</v>
      </c>
      <c r="N240">
        <v>0</v>
      </c>
      <c r="O240" t="str">
        <f t="shared" si="3"/>
        <v>0-100</v>
      </c>
    </row>
    <row r="241" spans="1:15" x14ac:dyDescent="0.35">
      <c r="A241" t="s">
        <v>400</v>
      </c>
      <c r="B241" t="s">
        <v>122</v>
      </c>
      <c r="C241" t="s">
        <v>68</v>
      </c>
      <c r="D241">
        <v>42.663679999999999</v>
      </c>
      <c r="E241">
        <v>-73.781279999999995</v>
      </c>
      <c r="F241" t="s">
        <v>31</v>
      </c>
      <c r="G241">
        <v>78</v>
      </c>
      <c r="H241">
        <v>6</v>
      </c>
      <c r="I241">
        <v>0</v>
      </c>
      <c r="K241">
        <v>0</v>
      </c>
      <c r="L241">
        <v>21</v>
      </c>
      <c r="M241">
        <v>364</v>
      </c>
      <c r="N241">
        <v>0</v>
      </c>
      <c r="O241" t="str">
        <f t="shared" si="3"/>
        <v>0-100</v>
      </c>
    </row>
    <row r="242" spans="1:15" x14ac:dyDescent="0.35">
      <c r="A242" t="s">
        <v>401</v>
      </c>
      <c r="B242" t="s">
        <v>399</v>
      </c>
      <c r="C242" t="s">
        <v>68</v>
      </c>
      <c r="D242">
        <v>42.668961400000001</v>
      </c>
      <c r="E242">
        <v>-73.789037899999997</v>
      </c>
      <c r="F242" t="s">
        <v>31</v>
      </c>
      <c r="G242">
        <v>38</v>
      </c>
      <c r="H242">
        <v>28</v>
      </c>
      <c r="I242">
        <v>2</v>
      </c>
      <c r="J242" s="1">
        <v>45940</v>
      </c>
      <c r="K242">
        <v>0.19</v>
      </c>
      <c r="L242">
        <v>6</v>
      </c>
      <c r="M242">
        <v>236</v>
      </c>
      <c r="N242">
        <v>2</v>
      </c>
      <c r="O242" t="str">
        <f t="shared" si="3"/>
        <v>0-100</v>
      </c>
    </row>
    <row r="243" spans="1:15" x14ac:dyDescent="0.35">
      <c r="A243" t="s">
        <v>404</v>
      </c>
      <c r="B243" t="s">
        <v>405</v>
      </c>
      <c r="C243" t="s">
        <v>68</v>
      </c>
      <c r="D243">
        <v>42.671050000000001</v>
      </c>
      <c r="E243">
        <v>-73.799499999999995</v>
      </c>
      <c r="F243" t="s">
        <v>22</v>
      </c>
      <c r="G243">
        <v>182</v>
      </c>
      <c r="H243">
        <v>2</v>
      </c>
      <c r="I243">
        <v>11</v>
      </c>
      <c r="J243" s="1">
        <v>46167</v>
      </c>
      <c r="K243">
        <v>0.44</v>
      </c>
      <c r="L243">
        <v>1</v>
      </c>
      <c r="M243">
        <v>297</v>
      </c>
      <c r="N243">
        <v>5</v>
      </c>
      <c r="O243" t="str">
        <f t="shared" si="3"/>
        <v>101-200</v>
      </c>
    </row>
    <row r="244" spans="1:15" x14ac:dyDescent="0.35">
      <c r="A244" t="s">
        <v>406</v>
      </c>
      <c r="B244" t="s">
        <v>359</v>
      </c>
      <c r="C244" t="s">
        <v>25</v>
      </c>
      <c r="D244">
        <v>42.6524924</v>
      </c>
      <c r="E244">
        <v>-73.767436099999998</v>
      </c>
      <c r="F244" t="s">
        <v>22</v>
      </c>
      <c r="G244">
        <v>157</v>
      </c>
      <c r="H244">
        <v>1</v>
      </c>
      <c r="I244">
        <v>119</v>
      </c>
      <c r="J244" s="1">
        <v>46159</v>
      </c>
      <c r="K244">
        <v>4.63</v>
      </c>
      <c r="L244">
        <v>8</v>
      </c>
      <c r="M244">
        <v>199</v>
      </c>
      <c r="N244">
        <v>60</v>
      </c>
      <c r="O244" t="str">
        <f t="shared" si="3"/>
        <v>101-200</v>
      </c>
    </row>
    <row r="245" spans="1:15" x14ac:dyDescent="0.35">
      <c r="A245" t="s">
        <v>407</v>
      </c>
      <c r="B245" t="s">
        <v>359</v>
      </c>
      <c r="C245" t="s">
        <v>25</v>
      </c>
      <c r="D245">
        <v>42.652740000000001</v>
      </c>
      <c r="E245">
        <v>-73.767790000000005</v>
      </c>
      <c r="F245" t="s">
        <v>22</v>
      </c>
      <c r="G245">
        <v>128</v>
      </c>
      <c r="H245">
        <v>2</v>
      </c>
      <c r="I245">
        <v>102</v>
      </c>
      <c r="J245" s="1">
        <v>46167</v>
      </c>
      <c r="K245">
        <v>3.95</v>
      </c>
      <c r="L245">
        <v>8</v>
      </c>
      <c r="M245">
        <v>112</v>
      </c>
      <c r="N245">
        <v>30</v>
      </c>
      <c r="O245" t="str">
        <f t="shared" si="3"/>
        <v>101-200</v>
      </c>
    </row>
    <row r="246" spans="1:15" x14ac:dyDescent="0.35">
      <c r="A246" t="s">
        <v>408</v>
      </c>
      <c r="B246" t="s">
        <v>409</v>
      </c>
      <c r="C246" t="s">
        <v>25</v>
      </c>
      <c r="D246">
        <v>42.6586049</v>
      </c>
      <c r="E246">
        <v>-73.768032899999994</v>
      </c>
      <c r="F246" t="s">
        <v>22</v>
      </c>
      <c r="G246">
        <v>164</v>
      </c>
      <c r="H246">
        <v>2</v>
      </c>
      <c r="I246">
        <v>19</v>
      </c>
      <c r="J246" s="1">
        <v>46079</v>
      </c>
      <c r="K246">
        <v>0.75</v>
      </c>
      <c r="L246">
        <v>1</v>
      </c>
      <c r="M246">
        <v>227</v>
      </c>
      <c r="N246">
        <v>8</v>
      </c>
      <c r="O246" t="str">
        <f t="shared" si="3"/>
        <v>101-200</v>
      </c>
    </row>
    <row r="247" spans="1:15" x14ac:dyDescent="0.35">
      <c r="A247" t="s">
        <v>410</v>
      </c>
      <c r="B247" t="s">
        <v>122</v>
      </c>
      <c r="C247" t="s">
        <v>47</v>
      </c>
      <c r="D247">
        <v>42.664279999999998</v>
      </c>
      <c r="E247">
        <v>-73.792490000000001</v>
      </c>
      <c r="F247" t="s">
        <v>31</v>
      </c>
      <c r="G247">
        <v>72</v>
      </c>
      <c r="H247">
        <v>28</v>
      </c>
      <c r="I247">
        <v>2</v>
      </c>
      <c r="J247" s="1">
        <v>45625</v>
      </c>
      <c r="K247">
        <v>0.09</v>
      </c>
      <c r="L247">
        <v>21</v>
      </c>
      <c r="M247">
        <v>269</v>
      </c>
      <c r="N247">
        <v>0</v>
      </c>
      <c r="O247" t="str">
        <f t="shared" si="3"/>
        <v>0-100</v>
      </c>
    </row>
    <row r="248" spans="1:15" x14ac:dyDescent="0.35">
      <c r="A248" t="s">
        <v>411</v>
      </c>
      <c r="B248" t="s">
        <v>394</v>
      </c>
      <c r="C248" t="s">
        <v>21</v>
      </c>
      <c r="D248">
        <v>42.658450000000002</v>
      </c>
      <c r="E248">
        <v>-73.759259999999998</v>
      </c>
      <c r="F248" t="s">
        <v>22</v>
      </c>
      <c r="G248">
        <v>108</v>
      </c>
      <c r="H248">
        <v>30</v>
      </c>
      <c r="I248">
        <v>0</v>
      </c>
      <c r="K248">
        <v>0</v>
      </c>
      <c r="L248">
        <v>2</v>
      </c>
      <c r="M248">
        <v>269</v>
      </c>
      <c r="N248">
        <v>0</v>
      </c>
      <c r="O248" t="str">
        <f t="shared" si="3"/>
        <v>101-200</v>
      </c>
    </row>
    <row r="249" spans="1:15" x14ac:dyDescent="0.35">
      <c r="A249" t="s">
        <v>412</v>
      </c>
      <c r="B249" t="s">
        <v>132</v>
      </c>
      <c r="C249" t="s">
        <v>64</v>
      </c>
      <c r="D249">
        <v>42.647269999999999</v>
      </c>
      <c r="E249">
        <v>-73.767579999999995</v>
      </c>
      <c r="F249" t="s">
        <v>22</v>
      </c>
      <c r="G249">
        <v>216</v>
      </c>
      <c r="H249">
        <v>1</v>
      </c>
      <c r="I249">
        <v>16</v>
      </c>
      <c r="J249" s="1">
        <v>46067</v>
      </c>
      <c r="K249">
        <v>0.67</v>
      </c>
      <c r="L249">
        <v>16</v>
      </c>
      <c r="M249">
        <v>309</v>
      </c>
      <c r="N249">
        <v>2</v>
      </c>
      <c r="O249" t="str">
        <f t="shared" si="3"/>
        <v>201-300</v>
      </c>
    </row>
    <row r="250" spans="1:15" x14ac:dyDescent="0.35">
      <c r="A250" t="s">
        <v>413</v>
      </c>
      <c r="B250" t="s">
        <v>95</v>
      </c>
      <c r="C250" t="s">
        <v>25</v>
      </c>
      <c r="D250">
        <v>42.65314</v>
      </c>
      <c r="E250">
        <v>-73.765299999999996</v>
      </c>
      <c r="F250" t="s">
        <v>22</v>
      </c>
      <c r="G250">
        <v>235</v>
      </c>
      <c r="H250">
        <v>2</v>
      </c>
      <c r="I250">
        <v>79</v>
      </c>
      <c r="J250" s="1">
        <v>46155</v>
      </c>
      <c r="K250">
        <v>3.21</v>
      </c>
      <c r="L250">
        <v>14</v>
      </c>
      <c r="M250">
        <v>93</v>
      </c>
      <c r="N250">
        <v>29</v>
      </c>
      <c r="O250" t="str">
        <f t="shared" si="3"/>
        <v>201-300</v>
      </c>
    </row>
    <row r="251" spans="1:15" x14ac:dyDescent="0.35">
      <c r="A251" t="s">
        <v>414</v>
      </c>
      <c r="B251" t="s">
        <v>95</v>
      </c>
      <c r="C251" t="s">
        <v>64</v>
      </c>
      <c r="D251">
        <v>42.644419999999997</v>
      </c>
      <c r="E251">
        <v>-73.779380000000003</v>
      </c>
      <c r="F251" t="s">
        <v>22</v>
      </c>
      <c r="G251">
        <v>400</v>
      </c>
      <c r="H251">
        <v>2</v>
      </c>
      <c r="I251">
        <v>32</v>
      </c>
      <c r="J251" s="1">
        <v>46159</v>
      </c>
      <c r="K251">
        <v>1.38</v>
      </c>
      <c r="L251">
        <v>14</v>
      </c>
      <c r="M251">
        <v>68</v>
      </c>
      <c r="N251">
        <v>13</v>
      </c>
      <c r="O251" t="str">
        <f t="shared" si="3"/>
        <v>301-500</v>
      </c>
    </row>
    <row r="252" spans="1:15" x14ac:dyDescent="0.35">
      <c r="A252" t="s">
        <v>416</v>
      </c>
      <c r="B252" t="s">
        <v>354</v>
      </c>
      <c r="C252" t="s">
        <v>25</v>
      </c>
      <c r="D252">
        <v>42.653420500000003</v>
      </c>
      <c r="E252">
        <v>-73.763975799999997</v>
      </c>
      <c r="F252" t="s">
        <v>22</v>
      </c>
      <c r="G252">
        <v>200</v>
      </c>
      <c r="H252">
        <v>1</v>
      </c>
      <c r="I252">
        <v>39</v>
      </c>
      <c r="J252" s="1">
        <v>46165</v>
      </c>
      <c r="K252">
        <v>1.62</v>
      </c>
      <c r="L252">
        <v>5</v>
      </c>
      <c r="M252">
        <v>55</v>
      </c>
      <c r="N252">
        <v>13</v>
      </c>
      <c r="O252" t="str">
        <f t="shared" si="3"/>
        <v>101-200</v>
      </c>
    </row>
    <row r="253" spans="1:15" x14ac:dyDescent="0.35">
      <c r="A253" t="s">
        <v>417</v>
      </c>
      <c r="B253" t="s">
        <v>354</v>
      </c>
      <c r="C253" t="s">
        <v>25</v>
      </c>
      <c r="D253">
        <v>42.652270000000001</v>
      </c>
      <c r="E253">
        <v>-73.764600000000002</v>
      </c>
      <c r="F253" t="s">
        <v>22</v>
      </c>
      <c r="G253">
        <v>277</v>
      </c>
      <c r="H253">
        <v>1</v>
      </c>
      <c r="I253">
        <v>43</v>
      </c>
      <c r="J253" s="1">
        <v>46125</v>
      </c>
      <c r="K253">
        <v>1.84</v>
      </c>
      <c r="L253">
        <v>5</v>
      </c>
      <c r="M253">
        <v>36</v>
      </c>
      <c r="N253">
        <v>19</v>
      </c>
      <c r="O253" t="str">
        <f t="shared" si="3"/>
        <v>201-300</v>
      </c>
    </row>
    <row r="254" spans="1:15" x14ac:dyDescent="0.35">
      <c r="A254" t="s">
        <v>418</v>
      </c>
      <c r="B254" t="s">
        <v>354</v>
      </c>
      <c r="C254" t="s">
        <v>25</v>
      </c>
      <c r="D254">
        <v>42.6524</v>
      </c>
      <c r="E254">
        <v>-73.763509999999997</v>
      </c>
      <c r="F254" t="s">
        <v>22</v>
      </c>
      <c r="G254">
        <v>187</v>
      </c>
      <c r="H254">
        <v>1</v>
      </c>
      <c r="I254">
        <v>40</v>
      </c>
      <c r="J254" s="1">
        <v>46160</v>
      </c>
      <c r="K254">
        <v>1.67</v>
      </c>
      <c r="L254">
        <v>5</v>
      </c>
      <c r="M254">
        <v>54</v>
      </c>
      <c r="N254">
        <v>21</v>
      </c>
      <c r="O254" t="str">
        <f t="shared" si="3"/>
        <v>101-200</v>
      </c>
    </row>
    <row r="255" spans="1:15" x14ac:dyDescent="0.35">
      <c r="A255" t="s">
        <v>419</v>
      </c>
      <c r="B255" t="s">
        <v>420</v>
      </c>
      <c r="C255" t="s">
        <v>25</v>
      </c>
      <c r="D255">
        <v>42.653269999999999</v>
      </c>
      <c r="E255">
        <v>-73.761809999999997</v>
      </c>
      <c r="F255" t="s">
        <v>22</v>
      </c>
      <c r="G255">
        <v>134</v>
      </c>
      <c r="H255">
        <v>1</v>
      </c>
      <c r="I255">
        <v>249</v>
      </c>
      <c r="J255" s="1">
        <v>46187</v>
      </c>
      <c r="K255">
        <v>10.43</v>
      </c>
      <c r="L255">
        <v>1</v>
      </c>
      <c r="M255">
        <v>123</v>
      </c>
      <c r="N255">
        <v>116</v>
      </c>
      <c r="O255" t="str">
        <f t="shared" si="3"/>
        <v>101-200</v>
      </c>
    </row>
    <row r="256" spans="1:15" x14ac:dyDescent="0.35">
      <c r="A256" t="s">
        <v>421</v>
      </c>
      <c r="B256" t="s">
        <v>122</v>
      </c>
      <c r="C256" t="s">
        <v>34</v>
      </c>
      <c r="D256">
        <v>42.666119999999999</v>
      </c>
      <c r="E256">
        <v>-73.792749999999998</v>
      </c>
      <c r="F256" t="s">
        <v>31</v>
      </c>
      <c r="G256">
        <v>47</v>
      </c>
      <c r="H256">
        <v>28</v>
      </c>
      <c r="I256">
        <v>0</v>
      </c>
      <c r="K256">
        <v>0</v>
      </c>
      <c r="L256">
        <v>21</v>
      </c>
      <c r="M256">
        <v>209</v>
      </c>
      <c r="N256">
        <v>0</v>
      </c>
      <c r="O256" t="str">
        <f t="shared" si="3"/>
        <v>0-100</v>
      </c>
    </row>
    <row r="257" spans="1:15" x14ac:dyDescent="0.35">
      <c r="A257" t="s">
        <v>422</v>
      </c>
      <c r="B257" t="s">
        <v>95</v>
      </c>
      <c r="C257" t="s">
        <v>51</v>
      </c>
      <c r="D257">
        <v>42.65502</v>
      </c>
      <c r="E257">
        <v>-73.791830000000004</v>
      </c>
      <c r="F257" t="s">
        <v>22</v>
      </c>
      <c r="G257">
        <v>343</v>
      </c>
      <c r="H257">
        <v>1</v>
      </c>
      <c r="I257">
        <v>29</v>
      </c>
      <c r="J257" s="1">
        <v>45857</v>
      </c>
      <c r="K257">
        <v>1.22</v>
      </c>
      <c r="L257">
        <v>14</v>
      </c>
      <c r="M257">
        <v>62</v>
      </c>
      <c r="N257">
        <v>1</v>
      </c>
      <c r="O257" t="str">
        <f t="shared" si="3"/>
        <v>301-500</v>
      </c>
    </row>
    <row r="258" spans="1:15" x14ac:dyDescent="0.35">
      <c r="A258" t="s">
        <v>423</v>
      </c>
      <c r="B258" t="s">
        <v>182</v>
      </c>
      <c r="C258" t="s">
        <v>25</v>
      </c>
      <c r="D258">
        <v>42.653329999999997</v>
      </c>
      <c r="E258">
        <v>-73.771100000000004</v>
      </c>
      <c r="F258" t="s">
        <v>22</v>
      </c>
      <c r="G258">
        <v>183</v>
      </c>
      <c r="H258">
        <v>1</v>
      </c>
      <c r="I258">
        <v>50</v>
      </c>
      <c r="J258" s="1">
        <v>46174</v>
      </c>
      <c r="K258">
        <v>2.35</v>
      </c>
      <c r="L258">
        <v>16</v>
      </c>
      <c r="M258">
        <v>349</v>
      </c>
      <c r="N258">
        <v>26</v>
      </c>
      <c r="O258" t="str">
        <f t="shared" ref="O258:O321" si="4">IF(G258&lt;=100,"0-100",
IF(G258&lt;=200,"101-200",
IF(G258&lt;=300,"201-300",
IF(G258&lt;=500,"301-500","500+"))))</f>
        <v>101-200</v>
      </c>
    </row>
    <row r="259" spans="1:15" x14ac:dyDescent="0.35">
      <c r="A259" t="s">
        <v>424</v>
      </c>
      <c r="B259" t="s">
        <v>182</v>
      </c>
      <c r="C259" t="s">
        <v>47</v>
      </c>
      <c r="D259">
        <v>42.662149999999997</v>
      </c>
      <c r="E259">
        <v>-73.790480000000002</v>
      </c>
      <c r="F259" t="s">
        <v>22</v>
      </c>
      <c r="G259">
        <v>179</v>
      </c>
      <c r="H259">
        <v>1</v>
      </c>
      <c r="I259">
        <v>56</v>
      </c>
      <c r="J259" s="1">
        <v>46159</v>
      </c>
      <c r="K259">
        <v>2.39</v>
      </c>
      <c r="L259">
        <v>16</v>
      </c>
      <c r="M259">
        <v>320</v>
      </c>
      <c r="N259">
        <v>21</v>
      </c>
      <c r="O259" t="str">
        <f t="shared" si="4"/>
        <v>101-200</v>
      </c>
    </row>
    <row r="260" spans="1:15" x14ac:dyDescent="0.35">
      <c r="A260" t="s">
        <v>425</v>
      </c>
      <c r="B260" t="s">
        <v>426</v>
      </c>
      <c r="C260" t="s">
        <v>47</v>
      </c>
      <c r="D260">
        <v>42.660529099999998</v>
      </c>
      <c r="E260">
        <v>-73.7831549</v>
      </c>
      <c r="F260" t="s">
        <v>31</v>
      </c>
      <c r="G260">
        <v>33</v>
      </c>
      <c r="H260">
        <v>28</v>
      </c>
      <c r="I260">
        <v>2</v>
      </c>
      <c r="J260" s="1">
        <v>46157</v>
      </c>
      <c r="K260">
        <v>0.55000000000000004</v>
      </c>
      <c r="L260">
        <v>8</v>
      </c>
      <c r="M260">
        <v>363</v>
      </c>
      <c r="N260">
        <v>2</v>
      </c>
      <c r="O260" t="str">
        <f t="shared" si="4"/>
        <v>0-100</v>
      </c>
    </row>
    <row r="261" spans="1:15" x14ac:dyDescent="0.35">
      <c r="A261" t="s">
        <v>427</v>
      </c>
      <c r="B261" t="s">
        <v>286</v>
      </c>
      <c r="C261" t="s">
        <v>25</v>
      </c>
      <c r="D261">
        <v>42.655732</v>
      </c>
      <c r="E261">
        <v>-73.764735000000002</v>
      </c>
      <c r="F261" t="s">
        <v>22</v>
      </c>
      <c r="G261">
        <v>294</v>
      </c>
      <c r="H261">
        <v>5</v>
      </c>
      <c r="I261">
        <v>0</v>
      </c>
      <c r="K261">
        <v>0</v>
      </c>
      <c r="L261">
        <v>4</v>
      </c>
      <c r="M261">
        <v>350</v>
      </c>
      <c r="N261">
        <v>0</v>
      </c>
      <c r="O261" t="str">
        <f t="shared" si="4"/>
        <v>201-300</v>
      </c>
    </row>
    <row r="262" spans="1:15" x14ac:dyDescent="0.35">
      <c r="A262" t="s">
        <v>428</v>
      </c>
      <c r="B262" t="s">
        <v>122</v>
      </c>
      <c r="C262" t="s">
        <v>47</v>
      </c>
      <c r="D262">
        <v>42.662689999999998</v>
      </c>
      <c r="E262">
        <v>-73.781630000000007</v>
      </c>
      <c r="F262" t="s">
        <v>31</v>
      </c>
      <c r="G262">
        <v>71</v>
      </c>
      <c r="H262">
        <v>30</v>
      </c>
      <c r="I262">
        <v>0</v>
      </c>
      <c r="K262">
        <v>0</v>
      </c>
      <c r="L262">
        <v>21</v>
      </c>
      <c r="M262">
        <v>350</v>
      </c>
      <c r="N262">
        <v>0</v>
      </c>
      <c r="O262" t="str">
        <f t="shared" si="4"/>
        <v>0-100</v>
      </c>
    </row>
    <row r="263" spans="1:15" x14ac:dyDescent="0.35">
      <c r="A263" t="s">
        <v>429</v>
      </c>
      <c r="B263" t="s">
        <v>430</v>
      </c>
      <c r="C263" t="s">
        <v>51</v>
      </c>
      <c r="D263">
        <v>42.655067359287898</v>
      </c>
      <c r="E263">
        <v>-73.797684609889899</v>
      </c>
      <c r="F263" t="s">
        <v>31</v>
      </c>
      <c r="G263">
        <v>55</v>
      </c>
      <c r="H263">
        <v>30</v>
      </c>
      <c r="I263">
        <v>6</v>
      </c>
      <c r="J263" s="1">
        <v>46009</v>
      </c>
      <c r="K263">
        <v>0.26</v>
      </c>
      <c r="L263">
        <v>3</v>
      </c>
      <c r="M263">
        <v>47</v>
      </c>
      <c r="N263">
        <v>1</v>
      </c>
      <c r="O263" t="str">
        <f t="shared" si="4"/>
        <v>0-100</v>
      </c>
    </row>
    <row r="264" spans="1:15" x14ac:dyDescent="0.35">
      <c r="A264" t="s">
        <v>431</v>
      </c>
      <c r="B264" t="s">
        <v>122</v>
      </c>
      <c r="C264" t="s">
        <v>47</v>
      </c>
      <c r="D264">
        <v>42.663899999999998</v>
      </c>
      <c r="E264">
        <v>-73.792699999999996</v>
      </c>
      <c r="F264" t="s">
        <v>31</v>
      </c>
      <c r="G264">
        <v>72</v>
      </c>
      <c r="H264">
        <v>28</v>
      </c>
      <c r="I264">
        <v>0</v>
      </c>
      <c r="K264">
        <v>0</v>
      </c>
      <c r="L264">
        <v>21</v>
      </c>
      <c r="M264">
        <v>364</v>
      </c>
      <c r="N264">
        <v>0</v>
      </c>
      <c r="O264" t="str">
        <f t="shared" si="4"/>
        <v>0-100</v>
      </c>
    </row>
    <row r="265" spans="1:15" x14ac:dyDescent="0.35">
      <c r="A265" t="s">
        <v>432</v>
      </c>
      <c r="B265" t="s">
        <v>276</v>
      </c>
      <c r="C265" t="s">
        <v>68</v>
      </c>
      <c r="D265">
        <v>42.673180000000002</v>
      </c>
      <c r="E265">
        <v>-73.793450000000007</v>
      </c>
      <c r="F265" t="s">
        <v>31</v>
      </c>
      <c r="G265">
        <v>97</v>
      </c>
      <c r="H265">
        <v>4</v>
      </c>
      <c r="I265">
        <v>4</v>
      </c>
      <c r="J265" s="1">
        <v>45870</v>
      </c>
      <c r="K265">
        <v>0.19</v>
      </c>
      <c r="L265">
        <v>13</v>
      </c>
      <c r="M265">
        <v>88</v>
      </c>
      <c r="N265">
        <v>2</v>
      </c>
      <c r="O265" t="str">
        <f t="shared" si="4"/>
        <v>0-100</v>
      </c>
    </row>
    <row r="266" spans="1:15" x14ac:dyDescent="0.35">
      <c r="A266" t="s">
        <v>433</v>
      </c>
      <c r="B266" t="s">
        <v>399</v>
      </c>
      <c r="C266" t="s">
        <v>68</v>
      </c>
      <c r="D266">
        <v>42.668590000000002</v>
      </c>
      <c r="E266">
        <v>-73.788319999999999</v>
      </c>
      <c r="F266" t="s">
        <v>31</v>
      </c>
      <c r="G266">
        <v>38</v>
      </c>
      <c r="H266">
        <v>28</v>
      </c>
      <c r="I266">
        <v>4</v>
      </c>
      <c r="J266" s="1">
        <v>46182</v>
      </c>
      <c r="K266">
        <v>0.19</v>
      </c>
      <c r="L266">
        <v>6</v>
      </c>
      <c r="M266">
        <v>336</v>
      </c>
      <c r="N266">
        <v>2</v>
      </c>
      <c r="O266" t="str">
        <f t="shared" si="4"/>
        <v>0-100</v>
      </c>
    </row>
    <row r="267" spans="1:15" x14ac:dyDescent="0.35">
      <c r="A267" t="s">
        <v>434</v>
      </c>
      <c r="B267" t="s">
        <v>399</v>
      </c>
      <c r="C267" t="s">
        <v>68</v>
      </c>
      <c r="D267">
        <v>42.668940399999997</v>
      </c>
      <c r="E267">
        <v>-73.789006399999906</v>
      </c>
      <c r="F267" t="s">
        <v>31</v>
      </c>
      <c r="G267">
        <v>86</v>
      </c>
      <c r="H267">
        <v>1</v>
      </c>
      <c r="I267">
        <v>0</v>
      </c>
      <c r="K267">
        <v>0</v>
      </c>
      <c r="L267">
        <v>6</v>
      </c>
      <c r="M267">
        <v>350</v>
      </c>
      <c r="N267">
        <v>0</v>
      </c>
      <c r="O267" t="str">
        <f t="shared" si="4"/>
        <v>0-100</v>
      </c>
    </row>
    <row r="268" spans="1:15" x14ac:dyDescent="0.35">
      <c r="A268" t="s">
        <v>435</v>
      </c>
      <c r="B268" t="s">
        <v>409</v>
      </c>
      <c r="C268" t="s">
        <v>68</v>
      </c>
      <c r="D268">
        <v>42.669550000000001</v>
      </c>
      <c r="E268">
        <v>-73.785420000000002</v>
      </c>
      <c r="F268" t="s">
        <v>22</v>
      </c>
      <c r="G268">
        <v>194</v>
      </c>
      <c r="H268">
        <v>3</v>
      </c>
      <c r="I268">
        <v>15</v>
      </c>
      <c r="J268" s="1">
        <v>46146</v>
      </c>
      <c r="K268">
        <v>0.7</v>
      </c>
      <c r="L268">
        <v>3</v>
      </c>
      <c r="M268">
        <v>348</v>
      </c>
      <c r="N268">
        <v>8</v>
      </c>
      <c r="O268" t="str">
        <f t="shared" si="4"/>
        <v>101-200</v>
      </c>
    </row>
    <row r="269" spans="1:15" x14ac:dyDescent="0.35">
      <c r="A269" t="s">
        <v>436</v>
      </c>
      <c r="B269" t="s">
        <v>136</v>
      </c>
      <c r="C269" t="s">
        <v>25</v>
      </c>
      <c r="D269">
        <v>42.655071610896101</v>
      </c>
      <c r="E269">
        <v>-73.764750946777198</v>
      </c>
      <c r="F269" t="s">
        <v>22</v>
      </c>
      <c r="G269">
        <v>253</v>
      </c>
      <c r="H269">
        <v>1</v>
      </c>
      <c r="I269">
        <v>88</v>
      </c>
      <c r="J269" s="1">
        <v>46177</v>
      </c>
      <c r="K269">
        <v>4.7699999999999996</v>
      </c>
      <c r="L269">
        <v>1</v>
      </c>
      <c r="M269">
        <v>239</v>
      </c>
      <c r="N269">
        <v>41</v>
      </c>
      <c r="O269" t="str">
        <f t="shared" si="4"/>
        <v>201-300</v>
      </c>
    </row>
    <row r="270" spans="1:15" x14ac:dyDescent="0.35">
      <c r="A270" t="s">
        <v>437</v>
      </c>
      <c r="B270" t="s">
        <v>359</v>
      </c>
      <c r="C270" t="s">
        <v>25</v>
      </c>
      <c r="D270">
        <v>42.651730000000001</v>
      </c>
      <c r="E270">
        <v>-73.767859999999999</v>
      </c>
      <c r="F270" t="s">
        <v>22</v>
      </c>
      <c r="G270">
        <v>157</v>
      </c>
      <c r="H270">
        <v>1</v>
      </c>
      <c r="I270">
        <v>116</v>
      </c>
      <c r="J270" s="1">
        <v>46167</v>
      </c>
      <c r="K270">
        <v>5.39</v>
      </c>
      <c r="L270">
        <v>8</v>
      </c>
      <c r="M270">
        <v>217</v>
      </c>
      <c r="N270">
        <v>60</v>
      </c>
      <c r="O270" t="str">
        <f t="shared" si="4"/>
        <v>101-200</v>
      </c>
    </row>
    <row r="271" spans="1:15" x14ac:dyDescent="0.35">
      <c r="A271" t="s">
        <v>438</v>
      </c>
      <c r="B271" t="s">
        <v>381</v>
      </c>
      <c r="C271" t="s">
        <v>25</v>
      </c>
      <c r="D271">
        <v>42.650468069044301</v>
      </c>
      <c r="E271">
        <v>-73.764347958106399</v>
      </c>
      <c r="F271" t="s">
        <v>22</v>
      </c>
      <c r="G271">
        <v>193</v>
      </c>
      <c r="H271">
        <v>1</v>
      </c>
      <c r="I271">
        <v>3</v>
      </c>
      <c r="J271" s="1">
        <v>46179</v>
      </c>
      <c r="K271">
        <v>0.15</v>
      </c>
      <c r="L271">
        <v>3</v>
      </c>
      <c r="M271">
        <v>342</v>
      </c>
      <c r="N271">
        <v>1</v>
      </c>
      <c r="O271" t="str">
        <f t="shared" si="4"/>
        <v>101-200</v>
      </c>
    </row>
    <row r="272" spans="1:15" x14ac:dyDescent="0.35">
      <c r="A272" t="s">
        <v>439</v>
      </c>
      <c r="B272" t="s">
        <v>440</v>
      </c>
      <c r="C272" t="s">
        <v>28</v>
      </c>
      <c r="D272">
        <v>42.642499999999998</v>
      </c>
      <c r="E272">
        <v>-73.758889999999994</v>
      </c>
      <c r="F272" t="s">
        <v>31</v>
      </c>
      <c r="G272">
        <v>69</v>
      </c>
      <c r="H272">
        <v>1</v>
      </c>
      <c r="I272">
        <v>40</v>
      </c>
      <c r="J272" s="1">
        <v>45883</v>
      </c>
      <c r="K272">
        <v>1.91</v>
      </c>
      <c r="L272">
        <v>1</v>
      </c>
      <c r="M272">
        <v>361</v>
      </c>
      <c r="N272">
        <v>6</v>
      </c>
      <c r="O272" t="str">
        <f t="shared" si="4"/>
        <v>0-100</v>
      </c>
    </row>
    <row r="273" spans="1:15" x14ac:dyDescent="0.35">
      <c r="A273" t="s">
        <v>441</v>
      </c>
      <c r="B273" t="s">
        <v>122</v>
      </c>
      <c r="C273" t="s">
        <v>47</v>
      </c>
      <c r="D273">
        <v>42.6651790512174</v>
      </c>
      <c r="E273">
        <v>-73.7926014796559</v>
      </c>
      <c r="F273" t="s">
        <v>31</v>
      </c>
      <c r="G273">
        <v>72</v>
      </c>
      <c r="H273">
        <v>28</v>
      </c>
      <c r="I273">
        <v>1</v>
      </c>
      <c r="J273" s="1">
        <v>45937</v>
      </c>
      <c r="K273">
        <v>0.12</v>
      </c>
      <c r="L273">
        <v>21</v>
      </c>
      <c r="M273">
        <v>304</v>
      </c>
      <c r="N273">
        <v>1</v>
      </c>
      <c r="O273" t="str">
        <f t="shared" si="4"/>
        <v>0-100</v>
      </c>
    </row>
    <row r="274" spans="1:15" x14ac:dyDescent="0.35">
      <c r="A274" t="s">
        <v>442</v>
      </c>
      <c r="B274" t="s">
        <v>443</v>
      </c>
      <c r="C274" t="s">
        <v>84</v>
      </c>
      <c r="D274">
        <v>42.645487391007499</v>
      </c>
      <c r="E274">
        <v>-73.789603215188706</v>
      </c>
      <c r="F274" t="s">
        <v>22</v>
      </c>
      <c r="G274">
        <v>313</v>
      </c>
      <c r="H274">
        <v>4</v>
      </c>
      <c r="I274">
        <v>0</v>
      </c>
      <c r="K274">
        <v>0</v>
      </c>
      <c r="L274">
        <v>1</v>
      </c>
      <c r="M274">
        <v>362</v>
      </c>
      <c r="N274">
        <v>0</v>
      </c>
      <c r="O274" t="str">
        <f t="shared" si="4"/>
        <v>301-500</v>
      </c>
    </row>
    <row r="275" spans="1:15" x14ac:dyDescent="0.35">
      <c r="A275" t="s">
        <v>444</v>
      </c>
      <c r="B275" t="s">
        <v>122</v>
      </c>
      <c r="C275" t="s">
        <v>47</v>
      </c>
      <c r="D275">
        <v>42.6655557806953</v>
      </c>
      <c r="E275">
        <v>-73.792697745978302</v>
      </c>
      <c r="F275" t="s">
        <v>31</v>
      </c>
      <c r="G275">
        <v>77</v>
      </c>
      <c r="H275">
        <v>21</v>
      </c>
      <c r="I275">
        <v>1</v>
      </c>
      <c r="J275" s="1">
        <v>45623</v>
      </c>
      <c r="K275">
        <v>0.05</v>
      </c>
      <c r="L275">
        <v>21</v>
      </c>
      <c r="M275">
        <v>358</v>
      </c>
      <c r="N275">
        <v>0</v>
      </c>
      <c r="O275" t="str">
        <f t="shared" si="4"/>
        <v>0-100</v>
      </c>
    </row>
    <row r="276" spans="1:15" x14ac:dyDescent="0.35">
      <c r="A276" t="s">
        <v>445</v>
      </c>
      <c r="B276" t="s">
        <v>182</v>
      </c>
      <c r="C276" t="s">
        <v>25</v>
      </c>
      <c r="D276">
        <v>42.654229768331497</v>
      </c>
      <c r="E276">
        <v>-73.769825773133704</v>
      </c>
      <c r="F276" t="s">
        <v>22</v>
      </c>
      <c r="G276">
        <v>182</v>
      </c>
      <c r="H276">
        <v>1</v>
      </c>
      <c r="I276">
        <v>26</v>
      </c>
      <c r="J276" s="1">
        <v>46172</v>
      </c>
      <c r="K276">
        <v>1.26</v>
      </c>
      <c r="L276">
        <v>16</v>
      </c>
      <c r="M276">
        <v>331</v>
      </c>
      <c r="N276">
        <v>16</v>
      </c>
      <c r="O276" t="str">
        <f t="shared" si="4"/>
        <v>101-200</v>
      </c>
    </row>
    <row r="277" spans="1:15" x14ac:dyDescent="0.35">
      <c r="A277" t="s">
        <v>446</v>
      </c>
      <c r="B277" t="s">
        <v>122</v>
      </c>
      <c r="C277" t="s">
        <v>47</v>
      </c>
      <c r="D277">
        <v>42.662260000000003</v>
      </c>
      <c r="E277">
        <v>-73.782210000000006</v>
      </c>
      <c r="F277" t="s">
        <v>31</v>
      </c>
      <c r="G277">
        <v>55</v>
      </c>
      <c r="H277">
        <v>30</v>
      </c>
      <c r="I277">
        <v>0</v>
      </c>
      <c r="K277">
        <v>0</v>
      </c>
      <c r="L277">
        <v>21</v>
      </c>
      <c r="M277">
        <v>161</v>
      </c>
      <c r="N277">
        <v>0</v>
      </c>
      <c r="O277" t="str">
        <f t="shared" si="4"/>
        <v>0-100</v>
      </c>
    </row>
    <row r="278" spans="1:15" x14ac:dyDescent="0.35">
      <c r="A278" t="s">
        <v>447</v>
      </c>
      <c r="B278" t="s">
        <v>132</v>
      </c>
      <c r="C278" t="s">
        <v>64</v>
      </c>
      <c r="D278">
        <v>42.647628566664999</v>
      </c>
      <c r="E278">
        <v>-73.767516840618896</v>
      </c>
      <c r="F278" t="s">
        <v>22</v>
      </c>
      <c r="G278">
        <v>263</v>
      </c>
      <c r="H278">
        <v>1</v>
      </c>
      <c r="I278">
        <v>43</v>
      </c>
      <c r="J278" s="1">
        <v>46167</v>
      </c>
      <c r="K278">
        <v>2.11</v>
      </c>
      <c r="L278">
        <v>16</v>
      </c>
      <c r="M278">
        <v>333</v>
      </c>
      <c r="N278">
        <v>16</v>
      </c>
      <c r="O278" t="str">
        <f t="shared" si="4"/>
        <v>201-300</v>
      </c>
    </row>
    <row r="279" spans="1:15" x14ac:dyDescent="0.35">
      <c r="A279" t="s">
        <v>448</v>
      </c>
      <c r="B279" t="s">
        <v>381</v>
      </c>
      <c r="C279" t="s">
        <v>25</v>
      </c>
      <c r="D279">
        <v>42.650046750770599</v>
      </c>
      <c r="E279">
        <v>-73.764021781643507</v>
      </c>
      <c r="F279" t="s">
        <v>22</v>
      </c>
      <c r="G279">
        <v>150</v>
      </c>
      <c r="H279">
        <v>1</v>
      </c>
      <c r="I279">
        <v>6</v>
      </c>
      <c r="J279" s="1">
        <v>45717</v>
      </c>
      <c r="K279">
        <v>0.3</v>
      </c>
      <c r="L279">
        <v>3</v>
      </c>
      <c r="M279">
        <v>246</v>
      </c>
      <c r="N279">
        <v>0</v>
      </c>
      <c r="O279" t="str">
        <f t="shared" si="4"/>
        <v>101-200</v>
      </c>
    </row>
    <row r="280" spans="1:15" x14ac:dyDescent="0.35">
      <c r="A280" t="s">
        <v>451</v>
      </c>
      <c r="B280" t="s">
        <v>452</v>
      </c>
      <c r="C280" t="s">
        <v>25</v>
      </c>
      <c r="D280">
        <v>42.651379695051702</v>
      </c>
      <c r="E280">
        <v>-73.769470692120805</v>
      </c>
      <c r="F280" t="s">
        <v>22</v>
      </c>
      <c r="G280">
        <v>145</v>
      </c>
      <c r="H280">
        <v>1</v>
      </c>
      <c r="I280">
        <v>62</v>
      </c>
      <c r="J280" s="1">
        <v>46159</v>
      </c>
      <c r="K280">
        <v>3.14</v>
      </c>
      <c r="L280">
        <v>1</v>
      </c>
      <c r="M280">
        <v>352</v>
      </c>
      <c r="N280">
        <v>45</v>
      </c>
      <c r="O280" t="str">
        <f t="shared" si="4"/>
        <v>101-200</v>
      </c>
    </row>
    <row r="281" spans="1:15" x14ac:dyDescent="0.35">
      <c r="A281" t="s">
        <v>455</v>
      </c>
      <c r="B281" t="s">
        <v>426</v>
      </c>
      <c r="C281" t="s">
        <v>21</v>
      </c>
      <c r="D281">
        <v>42.6648753093762</v>
      </c>
      <c r="E281">
        <v>-73.767303390287495</v>
      </c>
      <c r="F281" t="s">
        <v>22</v>
      </c>
      <c r="G281">
        <v>85</v>
      </c>
      <c r="H281">
        <v>1</v>
      </c>
      <c r="I281">
        <v>1</v>
      </c>
      <c r="J281" s="1">
        <v>46125</v>
      </c>
      <c r="K281">
        <v>0.46</v>
      </c>
      <c r="L281">
        <v>8</v>
      </c>
      <c r="M281">
        <v>336</v>
      </c>
      <c r="N281">
        <v>1</v>
      </c>
      <c r="O281" t="str">
        <f t="shared" si="4"/>
        <v>0-100</v>
      </c>
    </row>
    <row r="282" spans="1:15" x14ac:dyDescent="0.35">
      <c r="A282" t="s">
        <v>456</v>
      </c>
      <c r="B282" t="s">
        <v>457</v>
      </c>
      <c r="C282" t="s">
        <v>28</v>
      </c>
      <c r="D282">
        <v>42.6453112779392</v>
      </c>
      <c r="E282">
        <v>-73.757933997208895</v>
      </c>
      <c r="F282" t="s">
        <v>31</v>
      </c>
      <c r="G282">
        <v>52</v>
      </c>
      <c r="H282">
        <v>1</v>
      </c>
      <c r="I282">
        <v>6</v>
      </c>
      <c r="J282" s="1">
        <v>45707</v>
      </c>
      <c r="K282">
        <v>0.3</v>
      </c>
      <c r="L282">
        <v>1</v>
      </c>
      <c r="M282">
        <v>305</v>
      </c>
      <c r="N282">
        <v>0</v>
      </c>
      <c r="O282" t="str">
        <f t="shared" si="4"/>
        <v>0-100</v>
      </c>
    </row>
    <row r="283" spans="1:15" x14ac:dyDescent="0.35">
      <c r="A283" t="s">
        <v>458</v>
      </c>
      <c r="B283" t="s">
        <v>426</v>
      </c>
      <c r="C283" t="s">
        <v>21</v>
      </c>
      <c r="D283">
        <v>42.664093000000001</v>
      </c>
      <c r="E283">
        <v>-73.7679519</v>
      </c>
      <c r="F283" t="s">
        <v>31</v>
      </c>
      <c r="G283">
        <v>36</v>
      </c>
      <c r="H283">
        <v>28</v>
      </c>
      <c r="I283">
        <v>1</v>
      </c>
      <c r="J283" s="1">
        <v>46083</v>
      </c>
      <c r="K283">
        <v>0.28000000000000003</v>
      </c>
      <c r="L283">
        <v>8</v>
      </c>
      <c r="M283">
        <v>297</v>
      </c>
      <c r="N283">
        <v>1</v>
      </c>
      <c r="O283" t="str">
        <f t="shared" si="4"/>
        <v>0-100</v>
      </c>
    </row>
    <row r="284" spans="1:15" x14ac:dyDescent="0.35">
      <c r="A284" t="s">
        <v>459</v>
      </c>
      <c r="B284" t="s">
        <v>460</v>
      </c>
      <c r="C284" t="s">
        <v>91</v>
      </c>
      <c r="D284">
        <v>42.674451428376102</v>
      </c>
      <c r="E284">
        <v>-73.7383570126471</v>
      </c>
      <c r="F284" t="s">
        <v>22</v>
      </c>
      <c r="G284">
        <v>289</v>
      </c>
      <c r="H284">
        <v>1</v>
      </c>
      <c r="I284">
        <v>5</v>
      </c>
      <c r="J284" s="1">
        <v>45941</v>
      </c>
      <c r="K284">
        <v>0.28999999999999998</v>
      </c>
      <c r="L284">
        <v>1</v>
      </c>
      <c r="M284">
        <v>177</v>
      </c>
      <c r="N284">
        <v>2</v>
      </c>
      <c r="O284" t="str">
        <f t="shared" si="4"/>
        <v>201-300</v>
      </c>
    </row>
    <row r="285" spans="1:15" x14ac:dyDescent="0.35">
      <c r="A285" t="s">
        <v>461</v>
      </c>
      <c r="B285" t="s">
        <v>259</v>
      </c>
      <c r="C285" t="s">
        <v>51</v>
      </c>
      <c r="D285">
        <v>42.656656284880697</v>
      </c>
      <c r="E285">
        <v>-73.781827054917798</v>
      </c>
      <c r="F285" t="s">
        <v>22</v>
      </c>
      <c r="G285">
        <v>206</v>
      </c>
      <c r="H285">
        <v>1</v>
      </c>
      <c r="I285">
        <v>39</v>
      </c>
      <c r="J285" s="1">
        <v>46097</v>
      </c>
      <c r="K285">
        <v>2.0299999999999998</v>
      </c>
      <c r="L285">
        <v>3</v>
      </c>
      <c r="M285">
        <v>348</v>
      </c>
      <c r="N285">
        <v>10</v>
      </c>
      <c r="O285" t="str">
        <f t="shared" si="4"/>
        <v>201-300</v>
      </c>
    </row>
    <row r="286" spans="1:15" x14ac:dyDescent="0.35">
      <c r="A286" t="s">
        <v>462</v>
      </c>
      <c r="B286" t="s">
        <v>122</v>
      </c>
      <c r="C286" t="s">
        <v>47</v>
      </c>
      <c r="D286">
        <v>42.662297059906003</v>
      </c>
      <c r="E286">
        <v>-73.781755744966802</v>
      </c>
      <c r="F286" t="s">
        <v>31</v>
      </c>
      <c r="G286">
        <v>46</v>
      </c>
      <c r="H286">
        <v>30</v>
      </c>
      <c r="I286">
        <v>0</v>
      </c>
      <c r="K286">
        <v>0</v>
      </c>
      <c r="L286">
        <v>21</v>
      </c>
      <c r="M286">
        <v>132</v>
      </c>
      <c r="N286">
        <v>0</v>
      </c>
      <c r="O286" t="str">
        <f t="shared" si="4"/>
        <v>0-100</v>
      </c>
    </row>
    <row r="287" spans="1:15" x14ac:dyDescent="0.35">
      <c r="A287" t="s">
        <v>463</v>
      </c>
      <c r="B287" t="s">
        <v>127</v>
      </c>
      <c r="C287" t="s">
        <v>84</v>
      </c>
      <c r="D287">
        <v>42.645928340632501</v>
      </c>
      <c r="E287">
        <v>-73.7987614116538</v>
      </c>
      <c r="F287" t="s">
        <v>22</v>
      </c>
      <c r="G287">
        <v>155</v>
      </c>
      <c r="H287">
        <v>13</v>
      </c>
      <c r="I287">
        <v>0</v>
      </c>
      <c r="K287">
        <v>0</v>
      </c>
      <c r="L287">
        <v>6</v>
      </c>
      <c r="M287">
        <v>166</v>
      </c>
      <c r="N287">
        <v>0</v>
      </c>
      <c r="O287" t="str">
        <f t="shared" si="4"/>
        <v>101-200</v>
      </c>
    </row>
    <row r="288" spans="1:15" x14ac:dyDescent="0.35">
      <c r="A288" t="s">
        <v>464</v>
      </c>
      <c r="B288" t="s">
        <v>122</v>
      </c>
      <c r="C288" t="s">
        <v>68</v>
      </c>
      <c r="D288">
        <v>42.663456296808803</v>
      </c>
      <c r="E288">
        <v>-73.781828154410107</v>
      </c>
      <c r="F288" t="s">
        <v>31</v>
      </c>
      <c r="G288">
        <v>71</v>
      </c>
      <c r="H288">
        <v>30</v>
      </c>
      <c r="I288">
        <v>1</v>
      </c>
      <c r="J288" s="1">
        <v>45917</v>
      </c>
      <c r="K288">
        <v>0.11</v>
      </c>
      <c r="L288">
        <v>21</v>
      </c>
      <c r="M288">
        <v>227</v>
      </c>
      <c r="N288">
        <v>1</v>
      </c>
      <c r="O288" t="str">
        <f t="shared" si="4"/>
        <v>0-100</v>
      </c>
    </row>
    <row r="289" spans="1:15" x14ac:dyDescent="0.35">
      <c r="A289" t="s">
        <v>465</v>
      </c>
      <c r="B289" t="s">
        <v>466</v>
      </c>
      <c r="C289" t="s">
        <v>68</v>
      </c>
      <c r="D289">
        <v>42.664345438141098</v>
      </c>
      <c r="E289">
        <v>-73.778745731381093</v>
      </c>
      <c r="F289" t="s">
        <v>31</v>
      </c>
      <c r="G289">
        <v>63</v>
      </c>
      <c r="H289">
        <v>1</v>
      </c>
      <c r="I289">
        <v>11</v>
      </c>
      <c r="J289" s="1">
        <v>45931</v>
      </c>
      <c r="K289">
        <v>0.65</v>
      </c>
      <c r="L289">
        <v>3</v>
      </c>
      <c r="M289">
        <v>226</v>
      </c>
      <c r="N289">
        <v>2</v>
      </c>
      <c r="O289" t="str">
        <f t="shared" si="4"/>
        <v>0-100</v>
      </c>
    </row>
    <row r="290" spans="1:15" x14ac:dyDescent="0.35">
      <c r="A290" t="s">
        <v>467</v>
      </c>
      <c r="B290" t="s">
        <v>466</v>
      </c>
      <c r="C290" t="s">
        <v>40</v>
      </c>
      <c r="D290">
        <v>42.662949703412202</v>
      </c>
      <c r="E290">
        <v>-73.778902711568904</v>
      </c>
      <c r="F290" t="s">
        <v>31</v>
      </c>
      <c r="G290">
        <v>63</v>
      </c>
      <c r="H290">
        <v>1</v>
      </c>
      <c r="I290">
        <v>124</v>
      </c>
      <c r="J290" s="1">
        <v>46178</v>
      </c>
      <c r="K290">
        <v>6.61</v>
      </c>
      <c r="L290">
        <v>3</v>
      </c>
      <c r="M290">
        <v>306</v>
      </c>
      <c r="N290">
        <v>80</v>
      </c>
      <c r="O290" t="str">
        <f t="shared" si="4"/>
        <v>0-100</v>
      </c>
    </row>
    <row r="291" spans="1:15" x14ac:dyDescent="0.35">
      <c r="A291" t="s">
        <v>468</v>
      </c>
      <c r="B291" t="s">
        <v>87</v>
      </c>
      <c r="C291" t="s">
        <v>28</v>
      </c>
      <c r="D291">
        <v>42.644412072686499</v>
      </c>
      <c r="E291">
        <v>-73.752266736339394</v>
      </c>
      <c r="F291" t="s">
        <v>22</v>
      </c>
      <c r="G291">
        <v>230</v>
      </c>
      <c r="H291">
        <v>1</v>
      </c>
      <c r="I291">
        <v>58</v>
      </c>
      <c r="J291" s="1">
        <v>46159</v>
      </c>
      <c r="K291">
        <v>3.27</v>
      </c>
      <c r="L291">
        <v>11</v>
      </c>
      <c r="M291">
        <v>350</v>
      </c>
      <c r="N291">
        <v>37</v>
      </c>
      <c r="O291" t="str">
        <f t="shared" si="4"/>
        <v>201-300</v>
      </c>
    </row>
    <row r="292" spans="1:15" x14ac:dyDescent="0.35">
      <c r="A292" t="s">
        <v>469</v>
      </c>
      <c r="B292" t="s">
        <v>122</v>
      </c>
      <c r="C292" t="s">
        <v>47</v>
      </c>
      <c r="D292">
        <v>42.662998945568603</v>
      </c>
      <c r="E292">
        <v>-73.782555853199199</v>
      </c>
      <c r="F292" t="s">
        <v>31</v>
      </c>
      <c r="G292">
        <v>72</v>
      </c>
      <c r="H292">
        <v>28</v>
      </c>
      <c r="I292">
        <v>1</v>
      </c>
      <c r="J292" s="1">
        <v>45882</v>
      </c>
      <c r="K292">
        <v>0.1</v>
      </c>
      <c r="L292">
        <v>21</v>
      </c>
      <c r="M292">
        <v>177</v>
      </c>
      <c r="N292">
        <v>1</v>
      </c>
      <c r="O292" t="str">
        <f t="shared" si="4"/>
        <v>0-100</v>
      </c>
    </row>
    <row r="293" spans="1:15" x14ac:dyDescent="0.35">
      <c r="A293" t="s">
        <v>470</v>
      </c>
      <c r="B293" t="s">
        <v>122</v>
      </c>
      <c r="C293" t="s">
        <v>47</v>
      </c>
      <c r="D293">
        <v>42.662399466796899</v>
      </c>
      <c r="E293">
        <v>-73.782712601074493</v>
      </c>
      <c r="F293" t="s">
        <v>31</v>
      </c>
      <c r="G293">
        <v>71</v>
      </c>
      <c r="H293">
        <v>30</v>
      </c>
      <c r="I293">
        <v>0</v>
      </c>
      <c r="K293">
        <v>0</v>
      </c>
      <c r="L293">
        <v>21</v>
      </c>
      <c r="M293">
        <v>339</v>
      </c>
      <c r="N293">
        <v>0</v>
      </c>
      <c r="O293" t="str">
        <f t="shared" si="4"/>
        <v>0-100</v>
      </c>
    </row>
    <row r="294" spans="1:15" x14ac:dyDescent="0.35">
      <c r="A294" t="s">
        <v>471</v>
      </c>
      <c r="B294" t="s">
        <v>466</v>
      </c>
      <c r="C294" t="s">
        <v>40</v>
      </c>
      <c r="D294">
        <v>42.6637589073082</v>
      </c>
      <c r="E294">
        <v>-73.776744067050501</v>
      </c>
      <c r="F294" t="s">
        <v>31</v>
      </c>
      <c r="G294">
        <v>66</v>
      </c>
      <c r="H294">
        <v>1</v>
      </c>
      <c r="I294">
        <v>71</v>
      </c>
      <c r="J294" s="1">
        <v>46164</v>
      </c>
      <c r="K294">
        <v>3.93</v>
      </c>
      <c r="L294">
        <v>3</v>
      </c>
      <c r="M294">
        <v>282</v>
      </c>
      <c r="N294">
        <v>44</v>
      </c>
      <c r="O294" t="str">
        <f t="shared" si="4"/>
        <v>0-100</v>
      </c>
    </row>
    <row r="295" spans="1:15" x14ac:dyDescent="0.35">
      <c r="A295" t="s">
        <v>472</v>
      </c>
      <c r="B295" t="s">
        <v>473</v>
      </c>
      <c r="C295" t="s">
        <v>25</v>
      </c>
      <c r="D295">
        <v>42.653309999999998</v>
      </c>
      <c r="E295">
        <v>-73.769710000000003</v>
      </c>
      <c r="F295" t="s">
        <v>22</v>
      </c>
      <c r="G295">
        <v>95</v>
      </c>
      <c r="H295">
        <v>31</v>
      </c>
      <c r="I295">
        <v>0</v>
      </c>
      <c r="K295">
        <v>0</v>
      </c>
      <c r="L295">
        <v>2</v>
      </c>
      <c r="M295">
        <v>318</v>
      </c>
      <c r="N295">
        <v>0</v>
      </c>
      <c r="O295" t="str">
        <f t="shared" si="4"/>
        <v>0-100</v>
      </c>
    </row>
    <row r="296" spans="1:15" x14ac:dyDescent="0.35">
      <c r="A296" t="s">
        <v>474</v>
      </c>
      <c r="B296" t="s">
        <v>475</v>
      </c>
      <c r="C296" t="s">
        <v>37</v>
      </c>
      <c r="D296">
        <v>42.670778542157798</v>
      </c>
      <c r="E296">
        <v>-73.825250545677207</v>
      </c>
      <c r="F296" t="s">
        <v>22</v>
      </c>
      <c r="G296">
        <v>245</v>
      </c>
      <c r="H296">
        <v>2</v>
      </c>
      <c r="I296">
        <v>8</v>
      </c>
      <c r="J296" s="1">
        <v>46169</v>
      </c>
      <c r="K296">
        <v>0.56000000000000005</v>
      </c>
      <c r="L296">
        <v>1</v>
      </c>
      <c r="M296">
        <v>171</v>
      </c>
      <c r="N296">
        <v>7</v>
      </c>
      <c r="O296" t="str">
        <f t="shared" si="4"/>
        <v>201-300</v>
      </c>
    </row>
    <row r="297" spans="1:15" x14ac:dyDescent="0.35">
      <c r="A297" t="s">
        <v>476</v>
      </c>
      <c r="B297" t="s">
        <v>477</v>
      </c>
      <c r="C297" t="s">
        <v>25</v>
      </c>
      <c r="D297">
        <v>42.650149999999996</v>
      </c>
      <c r="E297">
        <v>-73.763369999999995</v>
      </c>
      <c r="F297" t="s">
        <v>22</v>
      </c>
      <c r="G297">
        <v>196</v>
      </c>
      <c r="H297">
        <v>2</v>
      </c>
      <c r="I297">
        <v>54</v>
      </c>
      <c r="J297" s="1">
        <v>46188</v>
      </c>
      <c r="K297">
        <v>3.27</v>
      </c>
      <c r="L297">
        <v>1</v>
      </c>
      <c r="M297">
        <v>254</v>
      </c>
      <c r="N297">
        <v>42</v>
      </c>
      <c r="O297" t="str">
        <f t="shared" si="4"/>
        <v>101-200</v>
      </c>
    </row>
    <row r="298" spans="1:15" x14ac:dyDescent="0.35">
      <c r="A298" t="s">
        <v>478</v>
      </c>
      <c r="B298" t="s">
        <v>150</v>
      </c>
      <c r="C298" t="s">
        <v>25</v>
      </c>
      <c r="D298">
        <v>42.652619999999999</v>
      </c>
      <c r="E298">
        <v>-73.761340000000004</v>
      </c>
      <c r="F298" t="s">
        <v>22</v>
      </c>
      <c r="G298">
        <v>161</v>
      </c>
      <c r="H298">
        <v>2</v>
      </c>
      <c r="I298">
        <v>6</v>
      </c>
      <c r="J298" s="1">
        <v>46160</v>
      </c>
      <c r="K298">
        <v>0.38</v>
      </c>
      <c r="L298">
        <v>3</v>
      </c>
      <c r="M298">
        <v>321</v>
      </c>
      <c r="N298">
        <v>2</v>
      </c>
      <c r="O298" t="str">
        <f t="shared" si="4"/>
        <v>101-200</v>
      </c>
    </row>
    <row r="299" spans="1:15" x14ac:dyDescent="0.35">
      <c r="A299" t="s">
        <v>479</v>
      </c>
      <c r="B299" t="s">
        <v>473</v>
      </c>
      <c r="C299" t="s">
        <v>25</v>
      </c>
      <c r="D299">
        <v>42.653448073835399</v>
      </c>
      <c r="E299">
        <v>-73.7694285437464</v>
      </c>
      <c r="F299" t="s">
        <v>22</v>
      </c>
      <c r="G299">
        <v>97</v>
      </c>
      <c r="H299">
        <v>31</v>
      </c>
      <c r="I299">
        <v>0</v>
      </c>
      <c r="K299">
        <v>0</v>
      </c>
      <c r="L299">
        <v>2</v>
      </c>
      <c r="M299">
        <v>333</v>
      </c>
      <c r="N299">
        <v>0</v>
      </c>
      <c r="O299" t="str">
        <f t="shared" si="4"/>
        <v>0-100</v>
      </c>
    </row>
    <row r="300" spans="1:15" x14ac:dyDescent="0.35">
      <c r="A300" t="s">
        <v>480</v>
      </c>
      <c r="B300" t="s">
        <v>87</v>
      </c>
      <c r="C300" t="s">
        <v>28</v>
      </c>
      <c r="D300">
        <v>42.644075000583101</v>
      </c>
      <c r="E300">
        <v>-73.754527900558202</v>
      </c>
      <c r="F300" t="s">
        <v>22</v>
      </c>
      <c r="G300">
        <v>229</v>
      </c>
      <c r="H300">
        <v>1</v>
      </c>
      <c r="I300">
        <v>51</v>
      </c>
      <c r="J300" s="1">
        <v>46180</v>
      </c>
      <c r="K300">
        <v>3.45</v>
      </c>
      <c r="L300">
        <v>11</v>
      </c>
      <c r="M300">
        <v>302</v>
      </c>
      <c r="N300">
        <v>41</v>
      </c>
      <c r="O300" t="str">
        <f t="shared" si="4"/>
        <v>201-300</v>
      </c>
    </row>
    <row r="301" spans="1:15" x14ac:dyDescent="0.35">
      <c r="A301" t="s">
        <v>481</v>
      </c>
      <c r="B301" t="s">
        <v>105</v>
      </c>
      <c r="C301" t="s">
        <v>25</v>
      </c>
      <c r="D301">
        <v>42.655664299999998</v>
      </c>
      <c r="E301">
        <v>-73.761885899999996</v>
      </c>
      <c r="F301" t="s">
        <v>22</v>
      </c>
      <c r="G301">
        <v>158</v>
      </c>
      <c r="H301">
        <v>1</v>
      </c>
      <c r="I301">
        <v>17</v>
      </c>
      <c r="J301" s="1">
        <v>46166</v>
      </c>
      <c r="K301">
        <v>1.44</v>
      </c>
      <c r="L301">
        <v>4</v>
      </c>
      <c r="M301">
        <v>361</v>
      </c>
      <c r="N301">
        <v>17</v>
      </c>
      <c r="O301" t="str">
        <f t="shared" si="4"/>
        <v>101-200</v>
      </c>
    </row>
    <row r="302" spans="1:15" x14ac:dyDescent="0.35">
      <c r="A302" t="s">
        <v>482</v>
      </c>
      <c r="B302" t="s">
        <v>389</v>
      </c>
      <c r="C302" t="s">
        <v>37</v>
      </c>
      <c r="D302">
        <v>42.670037135469201</v>
      </c>
      <c r="E302">
        <v>-73.823027152316598</v>
      </c>
      <c r="F302" t="s">
        <v>22</v>
      </c>
      <c r="G302">
        <v>371</v>
      </c>
      <c r="H302">
        <v>1</v>
      </c>
      <c r="I302">
        <v>82</v>
      </c>
      <c r="J302" s="1">
        <v>46180</v>
      </c>
      <c r="K302">
        <v>5.0599999999999996</v>
      </c>
      <c r="L302">
        <v>3</v>
      </c>
      <c r="M302">
        <v>337</v>
      </c>
      <c r="N302">
        <v>61</v>
      </c>
      <c r="O302" t="str">
        <f t="shared" si="4"/>
        <v>301-500</v>
      </c>
    </row>
    <row r="303" spans="1:15" x14ac:dyDescent="0.35">
      <c r="A303" t="s">
        <v>483</v>
      </c>
      <c r="B303" t="s">
        <v>426</v>
      </c>
      <c r="C303" t="s">
        <v>21</v>
      </c>
      <c r="D303">
        <v>42.665263049060499</v>
      </c>
      <c r="E303">
        <v>-73.767160701079504</v>
      </c>
      <c r="F303" t="s">
        <v>22</v>
      </c>
      <c r="G303">
        <v>94</v>
      </c>
      <c r="H303">
        <v>28</v>
      </c>
      <c r="I303">
        <v>0</v>
      </c>
      <c r="K303">
        <v>0</v>
      </c>
      <c r="L303">
        <v>8</v>
      </c>
      <c r="M303">
        <v>346</v>
      </c>
      <c r="N303">
        <v>0</v>
      </c>
      <c r="O303" t="str">
        <f t="shared" si="4"/>
        <v>0-100</v>
      </c>
    </row>
    <row r="304" spans="1:15" x14ac:dyDescent="0.35">
      <c r="A304" t="s">
        <v>484</v>
      </c>
      <c r="B304" t="s">
        <v>485</v>
      </c>
      <c r="C304" t="s">
        <v>68</v>
      </c>
      <c r="D304">
        <v>42.668909999999997</v>
      </c>
      <c r="E304">
        <v>-73.790959999999998</v>
      </c>
      <c r="F304" t="s">
        <v>22</v>
      </c>
      <c r="G304">
        <v>349</v>
      </c>
      <c r="H304">
        <v>1</v>
      </c>
      <c r="I304">
        <v>8</v>
      </c>
      <c r="J304" s="1">
        <v>46103</v>
      </c>
      <c r="K304">
        <v>0.59</v>
      </c>
      <c r="L304">
        <v>1</v>
      </c>
      <c r="M304">
        <v>319</v>
      </c>
      <c r="N304">
        <v>5</v>
      </c>
      <c r="O304" t="str">
        <f t="shared" si="4"/>
        <v>301-500</v>
      </c>
    </row>
    <row r="305" spans="1:15" x14ac:dyDescent="0.35">
      <c r="A305" t="s">
        <v>486</v>
      </c>
      <c r="B305" t="s">
        <v>381</v>
      </c>
      <c r="C305" t="s">
        <v>84</v>
      </c>
      <c r="D305">
        <v>42.645330146003197</v>
      </c>
      <c r="E305">
        <v>-73.789131045637006</v>
      </c>
      <c r="F305" t="s">
        <v>22</v>
      </c>
      <c r="G305">
        <v>354</v>
      </c>
      <c r="H305">
        <v>2</v>
      </c>
      <c r="I305">
        <v>51</v>
      </c>
      <c r="J305" s="1">
        <v>46167</v>
      </c>
      <c r="K305">
        <v>3.36</v>
      </c>
      <c r="L305">
        <v>1</v>
      </c>
      <c r="M305">
        <v>214</v>
      </c>
      <c r="N305">
        <v>36</v>
      </c>
      <c r="O305" t="str">
        <f t="shared" si="4"/>
        <v>301-500</v>
      </c>
    </row>
    <row r="306" spans="1:15" x14ac:dyDescent="0.35">
      <c r="A306" t="s">
        <v>487</v>
      </c>
      <c r="B306" t="s">
        <v>488</v>
      </c>
      <c r="C306" t="s">
        <v>91</v>
      </c>
      <c r="D306">
        <v>42.661593722653599</v>
      </c>
      <c r="E306">
        <v>-73.754399565118206</v>
      </c>
      <c r="F306" t="s">
        <v>22</v>
      </c>
      <c r="G306">
        <v>149</v>
      </c>
      <c r="H306">
        <v>1</v>
      </c>
      <c r="I306">
        <v>57</v>
      </c>
      <c r="J306" s="1">
        <v>46187</v>
      </c>
      <c r="K306">
        <v>3.74</v>
      </c>
      <c r="L306">
        <v>1</v>
      </c>
      <c r="M306">
        <v>318</v>
      </c>
      <c r="N306">
        <v>48</v>
      </c>
      <c r="O306" t="str">
        <f t="shared" si="4"/>
        <v>101-200</v>
      </c>
    </row>
    <row r="307" spans="1:15" x14ac:dyDescent="0.35">
      <c r="A307" t="s">
        <v>489</v>
      </c>
      <c r="B307" t="s">
        <v>299</v>
      </c>
      <c r="C307" t="s">
        <v>54</v>
      </c>
      <c r="D307">
        <v>42.6602362124856</v>
      </c>
      <c r="E307">
        <v>-73.757779949081794</v>
      </c>
      <c r="F307" t="s">
        <v>22</v>
      </c>
      <c r="G307">
        <v>84</v>
      </c>
      <c r="H307">
        <v>14</v>
      </c>
      <c r="I307">
        <v>0</v>
      </c>
      <c r="K307">
        <v>0</v>
      </c>
      <c r="L307">
        <v>4</v>
      </c>
      <c r="M307">
        <v>274</v>
      </c>
      <c r="N307">
        <v>0</v>
      </c>
      <c r="O307" t="str">
        <f t="shared" si="4"/>
        <v>0-100</v>
      </c>
    </row>
    <row r="308" spans="1:15" x14ac:dyDescent="0.35">
      <c r="A308" t="s">
        <v>490</v>
      </c>
      <c r="B308" t="s">
        <v>286</v>
      </c>
      <c r="C308" t="s">
        <v>117</v>
      </c>
      <c r="D308">
        <v>42.639626519419302</v>
      </c>
      <c r="E308">
        <v>-73.773308008159404</v>
      </c>
      <c r="F308" t="s">
        <v>22</v>
      </c>
      <c r="G308">
        <v>273</v>
      </c>
      <c r="H308">
        <v>2</v>
      </c>
      <c r="I308">
        <v>1</v>
      </c>
      <c r="J308" s="1">
        <v>45948</v>
      </c>
      <c r="K308">
        <v>0.12</v>
      </c>
      <c r="L308">
        <v>4</v>
      </c>
      <c r="M308">
        <v>361</v>
      </c>
      <c r="N308">
        <v>1</v>
      </c>
      <c r="O308" t="str">
        <f t="shared" si="4"/>
        <v>201-300</v>
      </c>
    </row>
    <row r="309" spans="1:15" x14ac:dyDescent="0.35">
      <c r="A309" t="s">
        <v>491</v>
      </c>
      <c r="B309" t="s">
        <v>276</v>
      </c>
      <c r="C309" t="s">
        <v>47</v>
      </c>
      <c r="D309">
        <v>42.663154024794601</v>
      </c>
      <c r="E309">
        <v>-73.789101237433499</v>
      </c>
      <c r="F309" t="s">
        <v>22</v>
      </c>
      <c r="G309">
        <v>165</v>
      </c>
      <c r="H309">
        <v>28</v>
      </c>
      <c r="I309">
        <v>1</v>
      </c>
      <c r="J309" s="1">
        <v>45873</v>
      </c>
      <c r="K309">
        <v>0.09</v>
      </c>
      <c r="L309">
        <v>13</v>
      </c>
      <c r="M309">
        <v>169</v>
      </c>
      <c r="N309">
        <v>1</v>
      </c>
      <c r="O309" t="str">
        <f t="shared" si="4"/>
        <v>101-200</v>
      </c>
    </row>
    <row r="310" spans="1:15" x14ac:dyDescent="0.35">
      <c r="A310" t="s">
        <v>492</v>
      </c>
      <c r="B310" t="s">
        <v>493</v>
      </c>
      <c r="C310" t="s">
        <v>25</v>
      </c>
      <c r="D310">
        <v>42.650406026844202</v>
      </c>
      <c r="E310">
        <v>-73.764331850786306</v>
      </c>
      <c r="F310" t="s">
        <v>22</v>
      </c>
      <c r="G310">
        <v>132</v>
      </c>
      <c r="H310">
        <v>1</v>
      </c>
      <c r="I310">
        <v>97</v>
      </c>
      <c r="J310" s="1">
        <v>46188</v>
      </c>
      <c r="K310">
        <v>6.66</v>
      </c>
      <c r="L310">
        <v>1</v>
      </c>
      <c r="M310">
        <v>305</v>
      </c>
      <c r="N310">
        <v>81</v>
      </c>
      <c r="O310" t="str">
        <f t="shared" si="4"/>
        <v>101-200</v>
      </c>
    </row>
    <row r="311" spans="1:15" x14ac:dyDescent="0.35">
      <c r="A311" t="s">
        <v>494</v>
      </c>
      <c r="B311" t="s">
        <v>495</v>
      </c>
      <c r="C311" t="s">
        <v>34</v>
      </c>
      <c r="D311">
        <v>42.670569999999998</v>
      </c>
      <c r="E311">
        <v>-73.809389999999993</v>
      </c>
      <c r="F311" t="s">
        <v>22</v>
      </c>
      <c r="G311">
        <v>354</v>
      </c>
      <c r="H311">
        <v>1</v>
      </c>
      <c r="I311">
        <v>38</v>
      </c>
      <c r="J311" s="1">
        <v>46185</v>
      </c>
      <c r="K311">
        <v>3.43</v>
      </c>
      <c r="L311">
        <v>1</v>
      </c>
      <c r="M311">
        <v>287</v>
      </c>
      <c r="N311">
        <v>38</v>
      </c>
      <c r="O311" t="str">
        <f t="shared" si="4"/>
        <v>301-500</v>
      </c>
    </row>
    <row r="312" spans="1:15" x14ac:dyDescent="0.35">
      <c r="A312" t="s">
        <v>496</v>
      </c>
      <c r="B312" t="s">
        <v>497</v>
      </c>
      <c r="C312" t="s">
        <v>34</v>
      </c>
      <c r="D312">
        <v>42.665984112297203</v>
      </c>
      <c r="E312">
        <v>-73.818800970911894</v>
      </c>
      <c r="F312" t="s">
        <v>22</v>
      </c>
      <c r="G312">
        <v>220</v>
      </c>
      <c r="H312">
        <v>7</v>
      </c>
      <c r="I312">
        <v>3</v>
      </c>
      <c r="J312" s="1">
        <v>45962</v>
      </c>
      <c r="K312">
        <v>0.23</v>
      </c>
      <c r="L312">
        <v>1</v>
      </c>
      <c r="M312">
        <v>68</v>
      </c>
      <c r="N312">
        <v>2</v>
      </c>
      <c r="O312" t="str">
        <f t="shared" si="4"/>
        <v>201-300</v>
      </c>
    </row>
    <row r="313" spans="1:15" x14ac:dyDescent="0.35">
      <c r="A313" t="s">
        <v>498</v>
      </c>
      <c r="B313" t="s">
        <v>359</v>
      </c>
      <c r="C313" t="s">
        <v>64</v>
      </c>
      <c r="D313">
        <v>42.647644086043599</v>
      </c>
      <c r="E313">
        <v>-73.771592538366406</v>
      </c>
      <c r="F313" t="s">
        <v>22</v>
      </c>
      <c r="G313">
        <v>148</v>
      </c>
      <c r="H313">
        <v>1</v>
      </c>
      <c r="I313">
        <v>13</v>
      </c>
      <c r="J313" s="1">
        <v>46092</v>
      </c>
      <c r="K313">
        <v>0.88</v>
      </c>
      <c r="L313">
        <v>8</v>
      </c>
      <c r="M313">
        <v>209</v>
      </c>
      <c r="N313">
        <v>11</v>
      </c>
      <c r="O313" t="str">
        <f t="shared" si="4"/>
        <v>101-200</v>
      </c>
    </row>
    <row r="314" spans="1:15" x14ac:dyDescent="0.35">
      <c r="A314" t="s">
        <v>502</v>
      </c>
      <c r="B314" t="s">
        <v>359</v>
      </c>
      <c r="C314" t="s">
        <v>64</v>
      </c>
      <c r="D314">
        <v>42.646286692808097</v>
      </c>
      <c r="E314">
        <v>-73.771530889140294</v>
      </c>
      <c r="F314" t="s">
        <v>22</v>
      </c>
      <c r="G314">
        <v>148</v>
      </c>
      <c r="H314">
        <v>1</v>
      </c>
      <c r="I314">
        <v>47</v>
      </c>
      <c r="J314" s="1">
        <v>46157</v>
      </c>
      <c r="K314">
        <v>3.12</v>
      </c>
      <c r="L314">
        <v>8</v>
      </c>
      <c r="M314">
        <v>301</v>
      </c>
      <c r="N314">
        <v>38</v>
      </c>
      <c r="O314" t="str">
        <f t="shared" si="4"/>
        <v>101-200</v>
      </c>
    </row>
    <row r="315" spans="1:15" x14ac:dyDescent="0.35">
      <c r="A315" t="s">
        <v>503</v>
      </c>
      <c r="B315" t="s">
        <v>504</v>
      </c>
      <c r="C315" t="s">
        <v>40</v>
      </c>
      <c r="D315">
        <v>42.6823168458398</v>
      </c>
      <c r="E315">
        <v>-73.783671562819407</v>
      </c>
      <c r="F315" t="s">
        <v>22</v>
      </c>
      <c r="G315">
        <v>87</v>
      </c>
      <c r="H315">
        <v>1</v>
      </c>
      <c r="I315">
        <v>17</v>
      </c>
      <c r="J315" s="1">
        <v>46088</v>
      </c>
      <c r="K315">
        <v>1.1499999999999999</v>
      </c>
      <c r="L315">
        <v>29</v>
      </c>
      <c r="M315">
        <v>363</v>
      </c>
      <c r="N315">
        <v>11</v>
      </c>
      <c r="O315" t="str">
        <f t="shared" si="4"/>
        <v>0-100</v>
      </c>
    </row>
    <row r="316" spans="1:15" x14ac:dyDescent="0.35">
      <c r="A316" t="s">
        <v>505</v>
      </c>
      <c r="B316" t="s">
        <v>450</v>
      </c>
      <c r="C316" t="s">
        <v>34</v>
      </c>
      <c r="D316">
        <v>42.661909999999999</v>
      </c>
      <c r="E316">
        <v>-73.797441199999994</v>
      </c>
      <c r="F316" t="s">
        <v>22</v>
      </c>
      <c r="G316">
        <v>297</v>
      </c>
      <c r="H316">
        <v>1</v>
      </c>
      <c r="I316">
        <v>62</v>
      </c>
      <c r="J316" s="1">
        <v>46188</v>
      </c>
      <c r="K316">
        <v>5.31</v>
      </c>
      <c r="L316">
        <v>1</v>
      </c>
      <c r="M316">
        <v>356</v>
      </c>
      <c r="N316">
        <v>62</v>
      </c>
      <c r="O316" t="str">
        <f t="shared" si="4"/>
        <v>201-300</v>
      </c>
    </row>
    <row r="317" spans="1:15" x14ac:dyDescent="0.35">
      <c r="A317" t="s">
        <v>507</v>
      </c>
      <c r="B317" t="s">
        <v>508</v>
      </c>
      <c r="C317" t="s">
        <v>51</v>
      </c>
      <c r="D317">
        <v>42.660020000000003</v>
      </c>
      <c r="E317">
        <v>-73.793329999999997</v>
      </c>
      <c r="F317" t="s">
        <v>31</v>
      </c>
      <c r="G317">
        <v>55</v>
      </c>
      <c r="H317">
        <v>8</v>
      </c>
      <c r="I317">
        <v>1</v>
      </c>
      <c r="J317" s="1">
        <v>45792</v>
      </c>
      <c r="K317">
        <v>0.08</v>
      </c>
      <c r="L317">
        <v>3</v>
      </c>
      <c r="M317">
        <v>258</v>
      </c>
      <c r="N317">
        <v>0</v>
      </c>
      <c r="O317" t="str">
        <f t="shared" si="4"/>
        <v>0-100</v>
      </c>
    </row>
    <row r="318" spans="1:15" x14ac:dyDescent="0.35">
      <c r="A318" t="s">
        <v>509</v>
      </c>
      <c r="B318" t="s">
        <v>504</v>
      </c>
      <c r="C318" t="s">
        <v>54</v>
      </c>
      <c r="D318">
        <v>42.6765214854736</v>
      </c>
      <c r="E318">
        <v>-73.781113838439893</v>
      </c>
      <c r="F318" t="s">
        <v>22</v>
      </c>
      <c r="G318">
        <v>88</v>
      </c>
      <c r="H318">
        <v>1</v>
      </c>
      <c r="I318">
        <v>12</v>
      </c>
      <c r="J318" s="1">
        <v>46151</v>
      </c>
      <c r="K318">
        <v>0.84</v>
      </c>
      <c r="L318">
        <v>29</v>
      </c>
      <c r="M318">
        <v>363</v>
      </c>
      <c r="N318">
        <v>10</v>
      </c>
      <c r="O318" t="str">
        <f t="shared" si="4"/>
        <v>0-100</v>
      </c>
    </row>
    <row r="319" spans="1:15" x14ac:dyDescent="0.35">
      <c r="A319" t="s">
        <v>510</v>
      </c>
      <c r="B319" t="s">
        <v>508</v>
      </c>
      <c r="C319" t="s">
        <v>51</v>
      </c>
      <c r="D319">
        <v>42.659475284293897</v>
      </c>
      <c r="E319">
        <v>-73.793681200123302</v>
      </c>
      <c r="F319" t="s">
        <v>31</v>
      </c>
      <c r="G319">
        <v>56</v>
      </c>
      <c r="H319">
        <v>7</v>
      </c>
      <c r="I319">
        <v>5</v>
      </c>
      <c r="J319" s="1">
        <v>46011</v>
      </c>
      <c r="K319">
        <v>0.36</v>
      </c>
      <c r="L319">
        <v>3</v>
      </c>
      <c r="M319">
        <v>271</v>
      </c>
      <c r="N319">
        <v>3</v>
      </c>
      <c r="O319" t="str">
        <f t="shared" si="4"/>
        <v>0-100</v>
      </c>
    </row>
    <row r="320" spans="1:15" x14ac:dyDescent="0.35">
      <c r="A320" t="s">
        <v>511</v>
      </c>
      <c r="B320" t="s">
        <v>254</v>
      </c>
      <c r="C320" t="s">
        <v>68</v>
      </c>
      <c r="D320">
        <v>42.669917189343998</v>
      </c>
      <c r="E320">
        <v>-73.7863292718624</v>
      </c>
      <c r="F320" t="s">
        <v>31</v>
      </c>
      <c r="G320">
        <v>57</v>
      </c>
      <c r="H320">
        <v>5</v>
      </c>
      <c r="I320">
        <v>4</v>
      </c>
      <c r="J320" s="1">
        <v>46171</v>
      </c>
      <c r="K320">
        <v>0.4</v>
      </c>
      <c r="L320">
        <v>5</v>
      </c>
      <c r="M320">
        <v>319</v>
      </c>
      <c r="N320">
        <v>4</v>
      </c>
      <c r="O320" t="str">
        <f t="shared" si="4"/>
        <v>0-100</v>
      </c>
    </row>
    <row r="321" spans="1:15" x14ac:dyDescent="0.35">
      <c r="A321" t="s">
        <v>512</v>
      </c>
      <c r="B321" t="s">
        <v>508</v>
      </c>
      <c r="C321" t="s">
        <v>34</v>
      </c>
      <c r="D321">
        <v>42.661116057130798</v>
      </c>
      <c r="E321">
        <v>-73.794081395516301</v>
      </c>
      <c r="F321" t="s">
        <v>31</v>
      </c>
      <c r="G321">
        <v>38</v>
      </c>
      <c r="H321">
        <v>28</v>
      </c>
      <c r="I321">
        <v>3</v>
      </c>
      <c r="J321" s="1">
        <v>45899</v>
      </c>
      <c r="K321">
        <v>0.25</v>
      </c>
      <c r="L321">
        <v>3</v>
      </c>
      <c r="M321">
        <v>257</v>
      </c>
      <c r="N321">
        <v>3</v>
      </c>
      <c r="O321" t="str">
        <f t="shared" si="4"/>
        <v>0-100</v>
      </c>
    </row>
    <row r="322" spans="1:15" x14ac:dyDescent="0.35">
      <c r="A322" t="s">
        <v>513</v>
      </c>
      <c r="B322" t="s">
        <v>426</v>
      </c>
      <c r="C322" t="s">
        <v>47</v>
      </c>
      <c r="D322">
        <v>42.660529099999998</v>
      </c>
      <c r="E322">
        <v>-73.7831549</v>
      </c>
      <c r="F322" t="s">
        <v>22</v>
      </c>
      <c r="G322">
        <v>120</v>
      </c>
      <c r="H322">
        <v>14</v>
      </c>
      <c r="I322">
        <v>2</v>
      </c>
      <c r="J322" s="1">
        <v>45879</v>
      </c>
      <c r="K322">
        <v>0.17</v>
      </c>
      <c r="L322">
        <v>8</v>
      </c>
      <c r="M322">
        <v>359</v>
      </c>
      <c r="N322">
        <v>2</v>
      </c>
      <c r="O322" t="str">
        <f t="shared" ref="O322:O385" si="5">IF(G322&lt;=100,"0-100",
IF(G322&lt;=200,"101-200",
IF(G322&lt;=300,"201-300",
IF(G322&lt;=500,"301-500","500+"))))</f>
        <v>101-200</v>
      </c>
    </row>
    <row r="323" spans="1:15" x14ac:dyDescent="0.35">
      <c r="A323" t="s">
        <v>514</v>
      </c>
      <c r="B323" t="s">
        <v>426</v>
      </c>
      <c r="C323" t="s">
        <v>47</v>
      </c>
      <c r="D323">
        <v>42.659903296506002</v>
      </c>
      <c r="E323">
        <v>-73.782573974358797</v>
      </c>
      <c r="F323" t="s">
        <v>31</v>
      </c>
      <c r="G323">
        <v>36</v>
      </c>
      <c r="H323">
        <v>28</v>
      </c>
      <c r="I323">
        <v>0</v>
      </c>
      <c r="K323">
        <v>0</v>
      </c>
      <c r="L323">
        <v>8</v>
      </c>
      <c r="M323">
        <v>305</v>
      </c>
      <c r="N323">
        <v>0</v>
      </c>
      <c r="O323" t="str">
        <f t="shared" si="5"/>
        <v>0-100</v>
      </c>
    </row>
    <row r="324" spans="1:15" x14ac:dyDescent="0.35">
      <c r="A324" t="s">
        <v>515</v>
      </c>
      <c r="B324" t="s">
        <v>516</v>
      </c>
      <c r="C324" t="s">
        <v>91</v>
      </c>
      <c r="D324">
        <v>42.6722593044463</v>
      </c>
      <c r="E324">
        <v>-73.739051990553804</v>
      </c>
      <c r="F324" t="s">
        <v>22</v>
      </c>
      <c r="G324">
        <v>159</v>
      </c>
      <c r="H324">
        <v>2</v>
      </c>
      <c r="I324">
        <v>7</v>
      </c>
      <c r="J324" s="1">
        <v>46178</v>
      </c>
      <c r="K324">
        <v>0.72</v>
      </c>
      <c r="L324">
        <v>1</v>
      </c>
      <c r="M324">
        <v>57</v>
      </c>
      <c r="N324">
        <v>7</v>
      </c>
      <c r="O324" t="str">
        <f t="shared" si="5"/>
        <v>101-200</v>
      </c>
    </row>
    <row r="325" spans="1:15" x14ac:dyDescent="0.35">
      <c r="A325" t="s">
        <v>517</v>
      </c>
      <c r="B325" t="s">
        <v>518</v>
      </c>
      <c r="C325" t="s">
        <v>21</v>
      </c>
      <c r="D325">
        <v>42.656649999999999</v>
      </c>
      <c r="E325">
        <v>-73.748679999999993</v>
      </c>
      <c r="F325" t="s">
        <v>22</v>
      </c>
      <c r="G325">
        <v>540</v>
      </c>
      <c r="H325">
        <v>2</v>
      </c>
      <c r="I325">
        <v>22</v>
      </c>
      <c r="J325" s="1">
        <v>46170</v>
      </c>
      <c r="K325">
        <v>2.14</v>
      </c>
      <c r="L325">
        <v>1</v>
      </c>
      <c r="M325">
        <v>241</v>
      </c>
      <c r="N325">
        <v>22</v>
      </c>
      <c r="O325" t="str">
        <f t="shared" si="5"/>
        <v>500+</v>
      </c>
    </row>
    <row r="326" spans="1:15" x14ac:dyDescent="0.35">
      <c r="A326" t="s">
        <v>519</v>
      </c>
      <c r="B326" t="s">
        <v>409</v>
      </c>
      <c r="C326" t="s">
        <v>68</v>
      </c>
      <c r="D326">
        <v>42.669159851758003</v>
      </c>
      <c r="E326">
        <v>-73.785287940569006</v>
      </c>
      <c r="F326" t="s">
        <v>22</v>
      </c>
      <c r="G326">
        <v>259</v>
      </c>
      <c r="H326">
        <v>2</v>
      </c>
      <c r="I326">
        <v>4</v>
      </c>
      <c r="J326" s="1">
        <v>45900</v>
      </c>
      <c r="K326">
        <v>0.36</v>
      </c>
      <c r="L326">
        <v>3</v>
      </c>
      <c r="M326">
        <v>350</v>
      </c>
      <c r="N326">
        <v>4</v>
      </c>
      <c r="O326" t="str">
        <f t="shared" si="5"/>
        <v>201-300</v>
      </c>
    </row>
    <row r="327" spans="1:15" x14ac:dyDescent="0.35">
      <c r="A327" t="s">
        <v>520</v>
      </c>
      <c r="B327" t="s">
        <v>341</v>
      </c>
      <c r="C327" t="s">
        <v>21</v>
      </c>
      <c r="D327">
        <v>42.657920787048802</v>
      </c>
      <c r="E327">
        <v>-73.750265664186898</v>
      </c>
      <c r="F327" t="s">
        <v>22</v>
      </c>
      <c r="G327">
        <v>157</v>
      </c>
      <c r="H327">
        <v>1</v>
      </c>
      <c r="I327">
        <v>1</v>
      </c>
      <c r="J327" s="1">
        <v>46075</v>
      </c>
      <c r="K327">
        <v>0.25</v>
      </c>
      <c r="L327">
        <v>2</v>
      </c>
      <c r="M327">
        <v>110</v>
      </c>
      <c r="N327">
        <v>1</v>
      </c>
      <c r="O327" t="str">
        <f t="shared" si="5"/>
        <v>101-200</v>
      </c>
    </row>
    <row r="328" spans="1:15" x14ac:dyDescent="0.35">
      <c r="A328" t="s">
        <v>521</v>
      </c>
      <c r="B328" t="s">
        <v>504</v>
      </c>
      <c r="C328" t="s">
        <v>40</v>
      </c>
      <c r="D328">
        <v>42.682246872011902</v>
      </c>
      <c r="E328">
        <v>-73.7833838965892</v>
      </c>
      <c r="F328" t="s">
        <v>22</v>
      </c>
      <c r="G328">
        <v>94</v>
      </c>
      <c r="H328">
        <v>1</v>
      </c>
      <c r="I328">
        <v>21</v>
      </c>
      <c r="J328" s="1">
        <v>46171</v>
      </c>
      <c r="K328">
        <v>1.68</v>
      </c>
      <c r="L328">
        <v>29</v>
      </c>
      <c r="M328">
        <v>364</v>
      </c>
      <c r="N328">
        <v>20</v>
      </c>
      <c r="O328" t="str">
        <f t="shared" si="5"/>
        <v>0-100</v>
      </c>
    </row>
    <row r="329" spans="1:15" x14ac:dyDescent="0.35">
      <c r="A329" t="s">
        <v>522</v>
      </c>
      <c r="B329" t="s">
        <v>504</v>
      </c>
      <c r="C329" t="s">
        <v>40</v>
      </c>
      <c r="D329">
        <v>42.6805255653016</v>
      </c>
      <c r="E329">
        <v>-73.785246163893802</v>
      </c>
      <c r="F329" t="s">
        <v>22</v>
      </c>
      <c r="G329">
        <v>85</v>
      </c>
      <c r="H329">
        <v>1</v>
      </c>
      <c r="I329">
        <v>7</v>
      </c>
      <c r="J329" s="1">
        <v>45982</v>
      </c>
      <c r="K329">
        <v>0.62</v>
      </c>
      <c r="L329">
        <v>29</v>
      </c>
      <c r="M329">
        <v>358</v>
      </c>
      <c r="N329">
        <v>7</v>
      </c>
      <c r="O329" t="str">
        <f t="shared" si="5"/>
        <v>0-100</v>
      </c>
    </row>
    <row r="330" spans="1:15" x14ac:dyDescent="0.35">
      <c r="A330" t="s">
        <v>523</v>
      </c>
      <c r="B330" t="s">
        <v>524</v>
      </c>
      <c r="C330" t="s">
        <v>25</v>
      </c>
      <c r="D330">
        <v>42.654226973975703</v>
      </c>
      <c r="E330">
        <v>-73.767203907360695</v>
      </c>
      <c r="F330" t="s">
        <v>22</v>
      </c>
      <c r="G330">
        <v>117</v>
      </c>
      <c r="H330">
        <v>2</v>
      </c>
      <c r="I330">
        <v>29</v>
      </c>
      <c r="J330" s="1">
        <v>46182</v>
      </c>
      <c r="K330">
        <v>2.4300000000000002</v>
      </c>
      <c r="L330">
        <v>2</v>
      </c>
      <c r="M330">
        <v>243</v>
      </c>
      <c r="N330">
        <v>29</v>
      </c>
      <c r="O330" t="str">
        <f t="shared" si="5"/>
        <v>101-200</v>
      </c>
    </row>
    <row r="331" spans="1:15" x14ac:dyDescent="0.35">
      <c r="A331" t="s">
        <v>527</v>
      </c>
      <c r="B331" t="s">
        <v>87</v>
      </c>
      <c r="C331" t="s">
        <v>28</v>
      </c>
      <c r="D331">
        <v>42.644390000000001</v>
      </c>
      <c r="E331">
        <v>-73.752960000000002</v>
      </c>
      <c r="F331" t="s">
        <v>22</v>
      </c>
      <c r="G331">
        <v>242</v>
      </c>
      <c r="H331">
        <v>1</v>
      </c>
      <c r="I331">
        <v>35</v>
      </c>
      <c r="J331" s="1">
        <v>46166</v>
      </c>
      <c r="K331">
        <v>2.91</v>
      </c>
      <c r="L331">
        <v>11</v>
      </c>
      <c r="M331">
        <v>167</v>
      </c>
      <c r="N331">
        <v>35</v>
      </c>
      <c r="O331" t="str">
        <f t="shared" si="5"/>
        <v>201-300</v>
      </c>
    </row>
    <row r="332" spans="1:15" x14ac:dyDescent="0.35">
      <c r="A332" t="s">
        <v>528</v>
      </c>
      <c r="B332" t="s">
        <v>529</v>
      </c>
      <c r="C332" t="s">
        <v>47</v>
      </c>
      <c r="D332">
        <v>42.660350000000001</v>
      </c>
      <c r="E332">
        <v>-73.782960000000003</v>
      </c>
      <c r="F332" t="s">
        <v>31</v>
      </c>
      <c r="G332">
        <v>44</v>
      </c>
      <c r="H332">
        <v>3</v>
      </c>
      <c r="I332">
        <v>2</v>
      </c>
      <c r="J332" s="1">
        <v>45868</v>
      </c>
      <c r="K332">
        <v>0.17</v>
      </c>
      <c r="L332">
        <v>1</v>
      </c>
      <c r="M332">
        <v>365</v>
      </c>
      <c r="N332">
        <v>2</v>
      </c>
      <c r="O332" t="str">
        <f t="shared" si="5"/>
        <v>0-100</v>
      </c>
    </row>
    <row r="333" spans="1:15" x14ac:dyDescent="0.35">
      <c r="A333" t="s">
        <v>530</v>
      </c>
      <c r="B333" t="s">
        <v>409</v>
      </c>
      <c r="C333" t="s">
        <v>68</v>
      </c>
      <c r="D333">
        <v>42.669510000000002</v>
      </c>
      <c r="E333">
        <v>-73.787360000000007</v>
      </c>
      <c r="F333" t="s">
        <v>22</v>
      </c>
      <c r="G333">
        <v>220</v>
      </c>
      <c r="H333">
        <v>2</v>
      </c>
      <c r="I333">
        <v>3</v>
      </c>
      <c r="J333" s="1">
        <v>45989</v>
      </c>
      <c r="K333">
        <v>0.27</v>
      </c>
      <c r="L333">
        <v>3</v>
      </c>
      <c r="M333">
        <v>361</v>
      </c>
      <c r="N333">
        <v>3</v>
      </c>
      <c r="O333" t="str">
        <f t="shared" si="5"/>
        <v>201-300</v>
      </c>
    </row>
    <row r="334" spans="1:15" x14ac:dyDescent="0.35">
      <c r="A334" t="s">
        <v>531</v>
      </c>
      <c r="B334" t="s">
        <v>87</v>
      </c>
      <c r="C334" t="s">
        <v>28</v>
      </c>
      <c r="D334">
        <v>42.645870000000002</v>
      </c>
      <c r="E334">
        <v>-73.753559999999993</v>
      </c>
      <c r="F334" t="s">
        <v>22</v>
      </c>
      <c r="G334">
        <v>180</v>
      </c>
      <c r="H334">
        <v>1</v>
      </c>
      <c r="I334">
        <v>15</v>
      </c>
      <c r="J334" s="1">
        <v>46111</v>
      </c>
      <c r="K334">
        <v>1.3</v>
      </c>
      <c r="L334">
        <v>11</v>
      </c>
      <c r="M334">
        <v>353</v>
      </c>
      <c r="N334">
        <v>15</v>
      </c>
      <c r="O334" t="str">
        <f t="shared" si="5"/>
        <v>101-200</v>
      </c>
    </row>
    <row r="335" spans="1:15" x14ac:dyDescent="0.35">
      <c r="A335" t="s">
        <v>532</v>
      </c>
      <c r="B335" t="s">
        <v>533</v>
      </c>
      <c r="C335" t="s">
        <v>28</v>
      </c>
      <c r="D335">
        <v>42.645350000000001</v>
      </c>
      <c r="E335">
        <v>-73.756780000000006</v>
      </c>
      <c r="F335" t="s">
        <v>22</v>
      </c>
      <c r="G335">
        <v>75</v>
      </c>
      <c r="H335">
        <v>1</v>
      </c>
      <c r="I335">
        <v>88</v>
      </c>
      <c r="J335" s="1">
        <v>46187</v>
      </c>
      <c r="K335">
        <v>8.07</v>
      </c>
      <c r="L335">
        <v>2</v>
      </c>
      <c r="M335">
        <v>319</v>
      </c>
      <c r="N335">
        <v>88</v>
      </c>
      <c r="O335" t="str">
        <f t="shared" si="5"/>
        <v>0-100</v>
      </c>
    </row>
    <row r="336" spans="1:15" x14ac:dyDescent="0.35">
      <c r="A336" t="s">
        <v>534</v>
      </c>
      <c r="B336" t="s">
        <v>533</v>
      </c>
      <c r="C336" t="s">
        <v>28</v>
      </c>
      <c r="D336">
        <v>42.645104811339401</v>
      </c>
      <c r="E336">
        <v>-73.757121133797099</v>
      </c>
      <c r="F336" t="s">
        <v>22</v>
      </c>
      <c r="G336">
        <v>75</v>
      </c>
      <c r="H336">
        <v>1</v>
      </c>
      <c r="I336">
        <v>84</v>
      </c>
      <c r="J336" s="1">
        <v>46180</v>
      </c>
      <c r="K336">
        <v>7.54</v>
      </c>
      <c r="L336">
        <v>2</v>
      </c>
      <c r="M336">
        <v>323</v>
      </c>
      <c r="N336">
        <v>84</v>
      </c>
      <c r="O336" t="str">
        <f t="shared" si="5"/>
        <v>0-100</v>
      </c>
    </row>
    <row r="337" spans="1:15" x14ac:dyDescent="0.35">
      <c r="A337" t="s">
        <v>538</v>
      </c>
      <c r="B337" t="s">
        <v>252</v>
      </c>
      <c r="C337" t="s">
        <v>51</v>
      </c>
      <c r="D337">
        <v>42.656157800000003</v>
      </c>
      <c r="E337">
        <v>-73.792112599999996</v>
      </c>
      <c r="F337" t="s">
        <v>22</v>
      </c>
      <c r="G337">
        <v>107</v>
      </c>
      <c r="H337">
        <v>31</v>
      </c>
      <c r="I337">
        <v>2</v>
      </c>
      <c r="J337" s="1">
        <v>46083</v>
      </c>
      <c r="K337">
        <v>0.28999999999999998</v>
      </c>
      <c r="L337">
        <v>2</v>
      </c>
      <c r="M337">
        <v>70</v>
      </c>
      <c r="N337">
        <v>2</v>
      </c>
      <c r="O337" t="str">
        <f t="shared" si="5"/>
        <v>101-200</v>
      </c>
    </row>
    <row r="338" spans="1:15" x14ac:dyDescent="0.35">
      <c r="A338" t="s">
        <v>539</v>
      </c>
      <c r="B338" t="s">
        <v>504</v>
      </c>
      <c r="C338" t="s">
        <v>54</v>
      </c>
      <c r="D338">
        <v>42.676189999999998</v>
      </c>
      <c r="E338">
        <v>-73.781210000000002</v>
      </c>
      <c r="F338" t="s">
        <v>22</v>
      </c>
      <c r="G338">
        <v>83</v>
      </c>
      <c r="H338">
        <v>1</v>
      </c>
      <c r="I338">
        <v>3</v>
      </c>
      <c r="J338" s="1">
        <v>46061</v>
      </c>
      <c r="K338">
        <v>0.28000000000000003</v>
      </c>
      <c r="L338">
        <v>29</v>
      </c>
      <c r="M338">
        <v>365</v>
      </c>
      <c r="N338">
        <v>3</v>
      </c>
      <c r="O338" t="str">
        <f t="shared" si="5"/>
        <v>0-100</v>
      </c>
    </row>
    <row r="339" spans="1:15" x14ac:dyDescent="0.35">
      <c r="A339" t="s">
        <v>540</v>
      </c>
      <c r="B339" t="s">
        <v>504</v>
      </c>
      <c r="C339" t="s">
        <v>54</v>
      </c>
      <c r="D339">
        <v>42.676389999999998</v>
      </c>
      <c r="E339">
        <v>-73.780860000000004</v>
      </c>
      <c r="F339" t="s">
        <v>22</v>
      </c>
      <c r="G339">
        <v>90</v>
      </c>
      <c r="H339">
        <v>1</v>
      </c>
      <c r="I339">
        <v>15</v>
      </c>
      <c r="J339" s="1">
        <v>46159</v>
      </c>
      <c r="K339">
        <v>1.35</v>
      </c>
      <c r="L339">
        <v>29</v>
      </c>
      <c r="M339">
        <v>363</v>
      </c>
      <c r="N339">
        <v>15</v>
      </c>
      <c r="O339" t="str">
        <f t="shared" si="5"/>
        <v>0-100</v>
      </c>
    </row>
    <row r="340" spans="1:15" x14ac:dyDescent="0.35">
      <c r="A340" t="s">
        <v>541</v>
      </c>
      <c r="B340" t="s">
        <v>504</v>
      </c>
      <c r="C340" t="s">
        <v>54</v>
      </c>
      <c r="D340">
        <v>42.676119999999997</v>
      </c>
      <c r="E340">
        <v>-73.780919999999995</v>
      </c>
      <c r="F340" t="s">
        <v>22</v>
      </c>
      <c r="G340">
        <v>104</v>
      </c>
      <c r="H340">
        <v>1</v>
      </c>
      <c r="I340">
        <v>21</v>
      </c>
      <c r="J340" s="1">
        <v>46099</v>
      </c>
      <c r="K340">
        <v>1.81</v>
      </c>
      <c r="L340">
        <v>29</v>
      </c>
      <c r="M340">
        <v>361</v>
      </c>
      <c r="N340">
        <v>21</v>
      </c>
      <c r="O340" t="str">
        <f t="shared" si="5"/>
        <v>101-200</v>
      </c>
    </row>
    <row r="341" spans="1:15" x14ac:dyDescent="0.35">
      <c r="A341" t="s">
        <v>542</v>
      </c>
      <c r="B341" t="s">
        <v>182</v>
      </c>
      <c r="C341" t="s">
        <v>47</v>
      </c>
      <c r="D341">
        <v>42.6635558481141</v>
      </c>
      <c r="E341">
        <v>-73.793458886527702</v>
      </c>
      <c r="F341" t="s">
        <v>22</v>
      </c>
      <c r="G341">
        <v>160</v>
      </c>
      <c r="H341">
        <v>1</v>
      </c>
      <c r="I341">
        <v>7</v>
      </c>
      <c r="J341" s="1">
        <v>46144</v>
      </c>
      <c r="K341">
        <v>0.62</v>
      </c>
      <c r="L341">
        <v>16</v>
      </c>
      <c r="M341">
        <v>353</v>
      </c>
      <c r="N341">
        <v>7</v>
      </c>
      <c r="O341" t="str">
        <f t="shared" si="5"/>
        <v>101-200</v>
      </c>
    </row>
    <row r="342" spans="1:15" x14ac:dyDescent="0.35">
      <c r="A342" t="s">
        <v>543</v>
      </c>
      <c r="B342" t="s">
        <v>544</v>
      </c>
      <c r="C342" t="s">
        <v>34</v>
      </c>
      <c r="D342">
        <v>42.667700000000004</v>
      </c>
      <c r="E342">
        <v>-73.800229999999999</v>
      </c>
      <c r="F342" t="s">
        <v>22</v>
      </c>
      <c r="G342">
        <v>81</v>
      </c>
      <c r="H342">
        <v>5</v>
      </c>
      <c r="I342">
        <v>24</v>
      </c>
      <c r="J342" s="1">
        <v>46168</v>
      </c>
      <c r="K342">
        <v>2.14</v>
      </c>
      <c r="L342">
        <v>5</v>
      </c>
      <c r="M342">
        <v>300</v>
      </c>
      <c r="N342">
        <v>24</v>
      </c>
      <c r="O342" t="str">
        <f t="shared" si="5"/>
        <v>0-100</v>
      </c>
    </row>
    <row r="343" spans="1:15" x14ac:dyDescent="0.35">
      <c r="A343" t="s">
        <v>545</v>
      </c>
      <c r="B343" t="s">
        <v>119</v>
      </c>
      <c r="C343" t="s">
        <v>28</v>
      </c>
      <c r="D343">
        <v>42.646039999999999</v>
      </c>
      <c r="E343">
        <v>-73.754189999999994</v>
      </c>
      <c r="F343" t="s">
        <v>22</v>
      </c>
      <c r="G343">
        <v>309</v>
      </c>
      <c r="H343">
        <v>1</v>
      </c>
      <c r="I343">
        <v>17</v>
      </c>
      <c r="J343" s="1">
        <v>46187</v>
      </c>
      <c r="K343">
        <v>1.54</v>
      </c>
      <c r="L343">
        <v>3</v>
      </c>
      <c r="M343">
        <v>83</v>
      </c>
      <c r="N343">
        <v>17</v>
      </c>
      <c r="O343" t="str">
        <f t="shared" si="5"/>
        <v>301-500</v>
      </c>
    </row>
    <row r="344" spans="1:15" x14ac:dyDescent="0.35">
      <c r="A344" t="s">
        <v>546</v>
      </c>
      <c r="B344" t="s">
        <v>547</v>
      </c>
      <c r="C344" t="s">
        <v>28</v>
      </c>
      <c r="D344">
        <v>42.644030000000001</v>
      </c>
      <c r="E344">
        <v>-73.758529999999993</v>
      </c>
      <c r="F344" t="s">
        <v>22</v>
      </c>
      <c r="G344">
        <v>199</v>
      </c>
      <c r="H344">
        <v>1</v>
      </c>
      <c r="I344">
        <v>52</v>
      </c>
      <c r="J344" s="1">
        <v>46187</v>
      </c>
      <c r="K344">
        <v>4.8</v>
      </c>
      <c r="L344">
        <v>2</v>
      </c>
      <c r="M344">
        <v>322</v>
      </c>
      <c r="N344">
        <v>52</v>
      </c>
      <c r="O344" t="str">
        <f t="shared" si="5"/>
        <v>101-200</v>
      </c>
    </row>
    <row r="345" spans="1:15" x14ac:dyDescent="0.35">
      <c r="A345" t="s">
        <v>548</v>
      </c>
      <c r="B345" t="s">
        <v>547</v>
      </c>
      <c r="C345" t="s">
        <v>28</v>
      </c>
      <c r="D345">
        <v>42.644910000000003</v>
      </c>
      <c r="E345">
        <v>-73.759399999999999</v>
      </c>
      <c r="F345" t="s">
        <v>22</v>
      </c>
      <c r="G345">
        <v>199</v>
      </c>
      <c r="H345">
        <v>1</v>
      </c>
      <c r="I345">
        <v>38</v>
      </c>
      <c r="J345" s="1">
        <v>46187</v>
      </c>
      <c r="K345">
        <v>3.54</v>
      </c>
      <c r="L345">
        <v>2</v>
      </c>
      <c r="M345">
        <v>343</v>
      </c>
      <c r="N345">
        <v>38</v>
      </c>
      <c r="O345" t="str">
        <f t="shared" si="5"/>
        <v>101-200</v>
      </c>
    </row>
    <row r="346" spans="1:15" x14ac:dyDescent="0.35">
      <c r="A346" t="s">
        <v>549</v>
      </c>
      <c r="B346" t="s">
        <v>381</v>
      </c>
      <c r="C346" t="s">
        <v>21</v>
      </c>
      <c r="D346">
        <v>42.657040000000002</v>
      </c>
      <c r="E346">
        <v>-73.751670000000004</v>
      </c>
      <c r="F346" t="s">
        <v>22</v>
      </c>
      <c r="G346">
        <v>133</v>
      </c>
      <c r="H346">
        <v>14</v>
      </c>
      <c r="I346">
        <v>0</v>
      </c>
      <c r="K346">
        <v>0</v>
      </c>
      <c r="L346">
        <v>2</v>
      </c>
      <c r="M346">
        <v>350</v>
      </c>
      <c r="N346">
        <v>0</v>
      </c>
      <c r="O346" t="str">
        <f t="shared" si="5"/>
        <v>101-200</v>
      </c>
    </row>
    <row r="347" spans="1:15" x14ac:dyDescent="0.35">
      <c r="A347" t="s">
        <v>550</v>
      </c>
      <c r="B347" t="s">
        <v>504</v>
      </c>
      <c r="C347" t="s">
        <v>54</v>
      </c>
      <c r="D347">
        <v>42.676270000000002</v>
      </c>
      <c r="E347">
        <v>-73.782259999999994</v>
      </c>
      <c r="F347" t="s">
        <v>22</v>
      </c>
      <c r="G347">
        <v>91</v>
      </c>
      <c r="H347">
        <v>1</v>
      </c>
      <c r="I347">
        <v>6</v>
      </c>
      <c r="J347" s="1">
        <v>46151</v>
      </c>
      <c r="K347">
        <v>0.63</v>
      </c>
      <c r="L347">
        <v>29</v>
      </c>
      <c r="M347">
        <v>360</v>
      </c>
      <c r="N347">
        <v>6</v>
      </c>
      <c r="O347" t="str">
        <f t="shared" si="5"/>
        <v>0-100</v>
      </c>
    </row>
    <row r="348" spans="1:15" x14ac:dyDescent="0.35">
      <c r="A348" t="s">
        <v>551</v>
      </c>
      <c r="B348" t="s">
        <v>504</v>
      </c>
      <c r="C348" t="s">
        <v>40</v>
      </c>
      <c r="D348">
        <v>42.680226031526402</v>
      </c>
      <c r="E348">
        <v>-73.783368808408198</v>
      </c>
      <c r="F348" t="s">
        <v>22</v>
      </c>
      <c r="G348">
        <v>97</v>
      </c>
      <c r="H348">
        <v>1</v>
      </c>
      <c r="I348">
        <v>5</v>
      </c>
      <c r="J348" s="1">
        <v>46172</v>
      </c>
      <c r="K348">
        <v>0.56000000000000005</v>
      </c>
      <c r="L348">
        <v>29</v>
      </c>
      <c r="M348">
        <v>360</v>
      </c>
      <c r="N348">
        <v>5</v>
      </c>
      <c r="O348" t="str">
        <f t="shared" si="5"/>
        <v>0-100</v>
      </c>
    </row>
    <row r="349" spans="1:15" x14ac:dyDescent="0.35">
      <c r="A349" t="s">
        <v>552</v>
      </c>
      <c r="B349" t="s">
        <v>381</v>
      </c>
      <c r="C349" t="s">
        <v>25</v>
      </c>
      <c r="D349">
        <v>42.651161201755698</v>
      </c>
      <c r="E349">
        <v>-73.764894939959007</v>
      </c>
      <c r="F349" t="s">
        <v>22</v>
      </c>
      <c r="G349">
        <v>139</v>
      </c>
      <c r="H349">
        <v>2</v>
      </c>
      <c r="I349">
        <v>2</v>
      </c>
      <c r="J349" s="1">
        <v>46079</v>
      </c>
      <c r="K349">
        <v>0.49</v>
      </c>
      <c r="L349">
        <v>3</v>
      </c>
      <c r="M349">
        <v>290</v>
      </c>
      <c r="N349">
        <v>2</v>
      </c>
      <c r="O349" t="str">
        <f t="shared" si="5"/>
        <v>101-200</v>
      </c>
    </row>
    <row r="350" spans="1:15" x14ac:dyDescent="0.35">
      <c r="A350" t="s">
        <v>553</v>
      </c>
      <c r="B350" t="s">
        <v>132</v>
      </c>
      <c r="C350" t="s">
        <v>91</v>
      </c>
      <c r="D350">
        <v>42.657910000000001</v>
      </c>
      <c r="E350">
        <v>-73.746690000000001</v>
      </c>
      <c r="F350" t="s">
        <v>22</v>
      </c>
      <c r="G350">
        <v>172</v>
      </c>
      <c r="H350">
        <v>1</v>
      </c>
      <c r="I350">
        <v>13</v>
      </c>
      <c r="J350" s="1">
        <v>46151</v>
      </c>
      <c r="K350">
        <v>1.2</v>
      </c>
      <c r="L350">
        <v>16</v>
      </c>
      <c r="M350">
        <v>352</v>
      </c>
      <c r="N350">
        <v>13</v>
      </c>
      <c r="O350" t="str">
        <f t="shared" si="5"/>
        <v>101-200</v>
      </c>
    </row>
    <row r="351" spans="1:15" x14ac:dyDescent="0.35">
      <c r="A351" t="s">
        <v>554</v>
      </c>
      <c r="B351" t="s">
        <v>276</v>
      </c>
      <c r="C351" t="s">
        <v>47</v>
      </c>
      <c r="D351">
        <v>42.662950000000002</v>
      </c>
      <c r="E351">
        <v>-73.78792</v>
      </c>
      <c r="F351" t="s">
        <v>31</v>
      </c>
      <c r="G351">
        <v>82</v>
      </c>
      <c r="H351">
        <v>4</v>
      </c>
      <c r="I351">
        <v>2</v>
      </c>
      <c r="J351" s="1">
        <v>45916</v>
      </c>
      <c r="K351">
        <v>0.19</v>
      </c>
      <c r="L351">
        <v>13</v>
      </c>
      <c r="M351">
        <v>50</v>
      </c>
      <c r="N351">
        <v>2</v>
      </c>
      <c r="O351" t="str">
        <f t="shared" si="5"/>
        <v>0-100</v>
      </c>
    </row>
    <row r="352" spans="1:15" x14ac:dyDescent="0.35">
      <c r="A352" t="s">
        <v>555</v>
      </c>
      <c r="B352" t="s">
        <v>276</v>
      </c>
      <c r="C352" t="s">
        <v>47</v>
      </c>
      <c r="D352">
        <v>42.662416179675603</v>
      </c>
      <c r="E352">
        <v>-73.788379609279403</v>
      </c>
      <c r="F352" t="s">
        <v>31</v>
      </c>
      <c r="G352">
        <v>78</v>
      </c>
      <c r="H352">
        <v>5</v>
      </c>
      <c r="I352">
        <v>1</v>
      </c>
      <c r="J352" s="1">
        <v>45963</v>
      </c>
      <c r="K352">
        <v>0.13</v>
      </c>
      <c r="L352">
        <v>13</v>
      </c>
      <c r="M352">
        <v>114</v>
      </c>
      <c r="N352">
        <v>1</v>
      </c>
      <c r="O352" t="str">
        <f t="shared" si="5"/>
        <v>0-100</v>
      </c>
    </row>
    <row r="353" spans="1:15" x14ac:dyDescent="0.35">
      <c r="A353" t="s">
        <v>556</v>
      </c>
      <c r="B353" t="s">
        <v>276</v>
      </c>
      <c r="C353" t="s">
        <v>47</v>
      </c>
      <c r="D353">
        <v>42.663258144541601</v>
      </c>
      <c r="E353">
        <v>-73.789826695591401</v>
      </c>
      <c r="F353" t="s">
        <v>31</v>
      </c>
      <c r="G353">
        <v>83</v>
      </c>
      <c r="H353">
        <v>21</v>
      </c>
      <c r="I353">
        <v>2</v>
      </c>
      <c r="J353" s="1">
        <v>46069</v>
      </c>
      <c r="K353">
        <v>0.36</v>
      </c>
      <c r="L353">
        <v>13</v>
      </c>
      <c r="M353">
        <v>36</v>
      </c>
      <c r="N353">
        <v>2</v>
      </c>
      <c r="O353" t="str">
        <f t="shared" si="5"/>
        <v>0-100</v>
      </c>
    </row>
    <row r="354" spans="1:15" x14ac:dyDescent="0.35">
      <c r="A354" t="s">
        <v>557</v>
      </c>
      <c r="B354" t="s">
        <v>276</v>
      </c>
      <c r="C354" t="s">
        <v>47</v>
      </c>
      <c r="D354">
        <v>42.662322934801701</v>
      </c>
      <c r="E354">
        <v>-73.787713910873705</v>
      </c>
      <c r="F354" t="s">
        <v>31</v>
      </c>
      <c r="G354">
        <v>43</v>
      </c>
      <c r="H354">
        <v>28</v>
      </c>
      <c r="I354">
        <v>2</v>
      </c>
      <c r="J354" s="1">
        <v>46065</v>
      </c>
      <c r="K354">
        <v>0.19</v>
      </c>
      <c r="L354">
        <v>13</v>
      </c>
      <c r="M354">
        <v>102</v>
      </c>
      <c r="N354">
        <v>2</v>
      </c>
      <c r="O354" t="str">
        <f t="shared" si="5"/>
        <v>0-100</v>
      </c>
    </row>
    <row r="355" spans="1:15" x14ac:dyDescent="0.35">
      <c r="A355" t="s">
        <v>558</v>
      </c>
      <c r="B355" t="s">
        <v>559</v>
      </c>
      <c r="C355" t="s">
        <v>21</v>
      </c>
      <c r="D355">
        <v>42.6498098</v>
      </c>
      <c r="E355">
        <v>-73.753256499999907</v>
      </c>
      <c r="F355" t="s">
        <v>22</v>
      </c>
      <c r="G355">
        <v>120</v>
      </c>
      <c r="H355">
        <v>2</v>
      </c>
      <c r="I355">
        <v>11</v>
      </c>
      <c r="J355" s="1">
        <v>46082</v>
      </c>
      <c r="K355">
        <v>1.0900000000000001</v>
      </c>
      <c r="L355">
        <v>1</v>
      </c>
      <c r="M355">
        <v>164</v>
      </c>
      <c r="N355">
        <v>11</v>
      </c>
      <c r="O355" t="str">
        <f t="shared" si="5"/>
        <v>101-200</v>
      </c>
    </row>
    <row r="356" spans="1:15" x14ac:dyDescent="0.35">
      <c r="A356" t="s">
        <v>560</v>
      </c>
      <c r="B356" t="s">
        <v>389</v>
      </c>
      <c r="C356" t="s">
        <v>51</v>
      </c>
      <c r="D356">
        <v>42.655470000000001</v>
      </c>
      <c r="E356">
        <v>-73.789490000000001</v>
      </c>
      <c r="F356" t="s">
        <v>22</v>
      </c>
      <c r="G356">
        <v>485</v>
      </c>
      <c r="H356">
        <v>1</v>
      </c>
      <c r="I356">
        <v>58</v>
      </c>
      <c r="J356" s="1">
        <v>46180</v>
      </c>
      <c r="K356">
        <v>5.94</v>
      </c>
      <c r="L356">
        <v>3</v>
      </c>
      <c r="M356">
        <v>315</v>
      </c>
      <c r="N356">
        <v>58</v>
      </c>
      <c r="O356" t="str">
        <f t="shared" si="5"/>
        <v>301-500</v>
      </c>
    </row>
    <row r="357" spans="1:15" x14ac:dyDescent="0.35">
      <c r="A357" t="s">
        <v>562</v>
      </c>
      <c r="B357" t="s">
        <v>276</v>
      </c>
      <c r="C357" t="s">
        <v>47</v>
      </c>
      <c r="D357">
        <v>42.663440000000001</v>
      </c>
      <c r="E357">
        <v>-73.787520000000001</v>
      </c>
      <c r="F357" t="s">
        <v>22</v>
      </c>
      <c r="G357">
        <v>160</v>
      </c>
      <c r="H357">
        <v>28</v>
      </c>
      <c r="I357">
        <v>0</v>
      </c>
      <c r="K357">
        <v>0</v>
      </c>
      <c r="L357">
        <v>13</v>
      </c>
      <c r="M357">
        <v>102</v>
      </c>
      <c r="N357">
        <v>0</v>
      </c>
      <c r="O357" t="str">
        <f t="shared" si="5"/>
        <v>101-200</v>
      </c>
    </row>
    <row r="358" spans="1:15" x14ac:dyDescent="0.35">
      <c r="A358" t="s">
        <v>563</v>
      </c>
      <c r="B358" t="s">
        <v>24</v>
      </c>
      <c r="C358" t="s">
        <v>25</v>
      </c>
      <c r="D358">
        <v>42.652377899999998</v>
      </c>
      <c r="E358">
        <v>-73.7671603</v>
      </c>
      <c r="F358" t="s">
        <v>22</v>
      </c>
      <c r="G358">
        <v>160</v>
      </c>
      <c r="H358">
        <v>1</v>
      </c>
      <c r="I358">
        <v>36</v>
      </c>
      <c r="J358" s="1">
        <v>46180</v>
      </c>
      <c r="K358">
        <v>3.75</v>
      </c>
      <c r="L358">
        <v>7</v>
      </c>
      <c r="M358">
        <v>345</v>
      </c>
      <c r="N358">
        <v>36</v>
      </c>
      <c r="O358" t="str">
        <f t="shared" si="5"/>
        <v>101-200</v>
      </c>
    </row>
    <row r="359" spans="1:15" x14ac:dyDescent="0.35">
      <c r="A359" t="s">
        <v>564</v>
      </c>
      <c r="B359" t="s">
        <v>504</v>
      </c>
      <c r="C359" t="s">
        <v>40</v>
      </c>
      <c r="D359">
        <v>42.678080000000001</v>
      </c>
      <c r="E359">
        <v>-73.782079999999993</v>
      </c>
      <c r="F359" t="s">
        <v>22</v>
      </c>
      <c r="G359">
        <v>88</v>
      </c>
      <c r="H359">
        <v>1</v>
      </c>
      <c r="I359">
        <v>5</v>
      </c>
      <c r="J359" s="1">
        <v>46143</v>
      </c>
      <c r="K359">
        <v>0.59</v>
      </c>
      <c r="L359">
        <v>29</v>
      </c>
      <c r="M359">
        <v>363</v>
      </c>
      <c r="N359">
        <v>5</v>
      </c>
      <c r="O359" t="str">
        <f t="shared" si="5"/>
        <v>0-100</v>
      </c>
    </row>
    <row r="360" spans="1:15" x14ac:dyDescent="0.35">
      <c r="A360" t="s">
        <v>565</v>
      </c>
      <c r="B360" t="s">
        <v>504</v>
      </c>
      <c r="C360" t="s">
        <v>54</v>
      </c>
      <c r="D360">
        <v>42.675801777825001</v>
      </c>
      <c r="E360">
        <v>-73.7803687491121</v>
      </c>
      <c r="F360" t="s">
        <v>22</v>
      </c>
      <c r="G360">
        <v>83</v>
      </c>
      <c r="H360">
        <v>1</v>
      </c>
      <c r="I360">
        <v>2</v>
      </c>
      <c r="J360" s="1">
        <v>45949</v>
      </c>
      <c r="K360">
        <v>0.23</v>
      </c>
      <c r="L360">
        <v>29</v>
      </c>
      <c r="M360">
        <v>359</v>
      </c>
      <c r="N360">
        <v>2</v>
      </c>
      <c r="O360" t="str">
        <f t="shared" si="5"/>
        <v>0-100</v>
      </c>
    </row>
    <row r="361" spans="1:15" x14ac:dyDescent="0.35">
      <c r="A361" t="s">
        <v>566</v>
      </c>
      <c r="B361" t="s">
        <v>504</v>
      </c>
      <c r="C361" t="s">
        <v>54</v>
      </c>
      <c r="D361">
        <v>42.67736</v>
      </c>
      <c r="E361">
        <v>-73.781080000000003</v>
      </c>
      <c r="F361" t="s">
        <v>22</v>
      </c>
      <c r="G361">
        <v>87</v>
      </c>
      <c r="H361">
        <v>1</v>
      </c>
      <c r="I361">
        <v>10</v>
      </c>
      <c r="J361" s="1">
        <v>46131</v>
      </c>
      <c r="K361">
        <v>0.99</v>
      </c>
      <c r="L361">
        <v>29</v>
      </c>
      <c r="M361">
        <v>356</v>
      </c>
      <c r="N361">
        <v>10</v>
      </c>
      <c r="O361" t="str">
        <f t="shared" si="5"/>
        <v>0-100</v>
      </c>
    </row>
    <row r="362" spans="1:15" x14ac:dyDescent="0.35">
      <c r="A362" t="s">
        <v>567</v>
      </c>
      <c r="B362" t="s">
        <v>504</v>
      </c>
      <c r="C362" t="s">
        <v>40</v>
      </c>
      <c r="D362">
        <v>42.6809405014315</v>
      </c>
      <c r="E362">
        <v>-73.784610600044104</v>
      </c>
      <c r="F362" t="s">
        <v>22</v>
      </c>
      <c r="G362">
        <v>90</v>
      </c>
      <c r="H362">
        <v>1</v>
      </c>
      <c r="I362">
        <v>11</v>
      </c>
      <c r="J362" s="1">
        <v>46139</v>
      </c>
      <c r="K362">
        <v>1.0900000000000001</v>
      </c>
      <c r="L362">
        <v>29</v>
      </c>
      <c r="M362">
        <v>357</v>
      </c>
      <c r="N362">
        <v>11</v>
      </c>
      <c r="O362" t="str">
        <f t="shared" si="5"/>
        <v>0-100</v>
      </c>
    </row>
    <row r="363" spans="1:15" x14ac:dyDescent="0.35">
      <c r="A363" t="s">
        <v>568</v>
      </c>
      <c r="B363" t="s">
        <v>504</v>
      </c>
      <c r="C363" t="s">
        <v>40</v>
      </c>
      <c r="D363">
        <v>42.682049999999997</v>
      </c>
      <c r="E363">
        <v>-73.784599999999998</v>
      </c>
      <c r="F363" t="s">
        <v>22</v>
      </c>
      <c r="G363">
        <v>92</v>
      </c>
      <c r="H363">
        <v>1</v>
      </c>
      <c r="I363">
        <v>1</v>
      </c>
      <c r="J363" s="1">
        <v>46101</v>
      </c>
      <c r="K363">
        <v>0.34</v>
      </c>
      <c r="L363">
        <v>29</v>
      </c>
      <c r="M363">
        <v>365</v>
      </c>
      <c r="N363">
        <v>1</v>
      </c>
      <c r="O363" t="str">
        <f t="shared" si="5"/>
        <v>0-100</v>
      </c>
    </row>
    <row r="364" spans="1:15" x14ac:dyDescent="0.35">
      <c r="A364" t="s">
        <v>569</v>
      </c>
      <c r="B364" t="s">
        <v>504</v>
      </c>
      <c r="C364" t="s">
        <v>40</v>
      </c>
      <c r="D364">
        <v>42.682110000000002</v>
      </c>
      <c r="E364">
        <v>-73.783060000000006</v>
      </c>
      <c r="F364" t="s">
        <v>22</v>
      </c>
      <c r="G364">
        <v>87</v>
      </c>
      <c r="H364">
        <v>1</v>
      </c>
      <c r="I364">
        <v>4</v>
      </c>
      <c r="J364" s="1">
        <v>46165</v>
      </c>
      <c r="K364">
        <v>0.41</v>
      </c>
      <c r="L364">
        <v>29</v>
      </c>
      <c r="M364">
        <v>362</v>
      </c>
      <c r="N364">
        <v>4</v>
      </c>
      <c r="O364" t="str">
        <f t="shared" si="5"/>
        <v>0-100</v>
      </c>
    </row>
    <row r="365" spans="1:15" x14ac:dyDescent="0.35">
      <c r="A365" t="s">
        <v>570</v>
      </c>
      <c r="B365" t="s">
        <v>90</v>
      </c>
      <c r="C365" t="s">
        <v>25</v>
      </c>
      <c r="D365">
        <v>42.65334</v>
      </c>
      <c r="E365">
        <v>-73.766050000000007</v>
      </c>
      <c r="F365" t="s">
        <v>22</v>
      </c>
      <c r="G365">
        <v>115</v>
      </c>
      <c r="H365">
        <v>1</v>
      </c>
      <c r="I365">
        <v>47</v>
      </c>
      <c r="J365" s="1">
        <v>46145</v>
      </c>
      <c r="K365">
        <v>5.2</v>
      </c>
      <c r="L365">
        <v>1</v>
      </c>
      <c r="M365">
        <v>166</v>
      </c>
      <c r="N365">
        <v>47</v>
      </c>
      <c r="O365" t="str">
        <f t="shared" si="5"/>
        <v>101-200</v>
      </c>
    </row>
    <row r="366" spans="1:15" x14ac:dyDescent="0.35">
      <c r="A366" t="s">
        <v>571</v>
      </c>
      <c r="B366" t="s">
        <v>572</v>
      </c>
      <c r="C366" t="s">
        <v>21</v>
      </c>
      <c r="D366">
        <v>42.656700000000001</v>
      </c>
      <c r="E366">
        <v>-73.75412</v>
      </c>
      <c r="F366" t="s">
        <v>22</v>
      </c>
      <c r="G366">
        <v>295</v>
      </c>
      <c r="H366">
        <v>1</v>
      </c>
      <c r="I366">
        <v>38</v>
      </c>
      <c r="J366" s="1">
        <v>46168</v>
      </c>
      <c r="K366">
        <v>6.26</v>
      </c>
      <c r="L366">
        <v>1</v>
      </c>
      <c r="M366">
        <v>203</v>
      </c>
      <c r="N366">
        <v>38</v>
      </c>
      <c r="O366" t="str">
        <f t="shared" si="5"/>
        <v>201-300</v>
      </c>
    </row>
    <row r="367" spans="1:15" x14ac:dyDescent="0.35">
      <c r="A367" t="s">
        <v>573</v>
      </c>
      <c r="B367" t="s">
        <v>574</v>
      </c>
      <c r="C367" t="s">
        <v>25</v>
      </c>
      <c r="D367">
        <v>42.6532615125383</v>
      </c>
      <c r="E367">
        <v>-73.769809028404495</v>
      </c>
      <c r="F367" t="s">
        <v>31</v>
      </c>
      <c r="G367">
        <v>67</v>
      </c>
      <c r="H367">
        <v>2</v>
      </c>
      <c r="I367">
        <v>22</v>
      </c>
      <c r="J367" s="1">
        <v>46158</v>
      </c>
      <c r="K367">
        <v>2.29</v>
      </c>
      <c r="L367">
        <v>1</v>
      </c>
      <c r="M367">
        <v>71</v>
      </c>
      <c r="N367">
        <v>22</v>
      </c>
      <c r="O367" t="str">
        <f t="shared" si="5"/>
        <v>0-100</v>
      </c>
    </row>
    <row r="368" spans="1:15" x14ac:dyDescent="0.35">
      <c r="A368" t="s">
        <v>575</v>
      </c>
      <c r="B368" t="s">
        <v>33</v>
      </c>
      <c r="C368" t="s">
        <v>25</v>
      </c>
      <c r="D368">
        <v>42.654789999999998</v>
      </c>
      <c r="E368">
        <v>-73.762739999999994</v>
      </c>
      <c r="F368" t="s">
        <v>22</v>
      </c>
      <c r="G368">
        <v>99</v>
      </c>
      <c r="H368">
        <v>30</v>
      </c>
      <c r="I368">
        <v>0</v>
      </c>
      <c r="K368">
        <v>0</v>
      </c>
      <c r="L368">
        <v>11</v>
      </c>
      <c r="M368">
        <v>365</v>
      </c>
      <c r="N368">
        <v>0</v>
      </c>
      <c r="O368" t="str">
        <f t="shared" si="5"/>
        <v>0-100</v>
      </c>
    </row>
    <row r="369" spans="1:15" x14ac:dyDescent="0.35">
      <c r="A369" t="s">
        <v>576</v>
      </c>
      <c r="B369" t="s">
        <v>524</v>
      </c>
      <c r="C369" t="s">
        <v>64</v>
      </c>
      <c r="D369">
        <v>42.641660000000002</v>
      </c>
      <c r="E369">
        <v>-73.784239999999997</v>
      </c>
      <c r="F369" t="s">
        <v>31</v>
      </c>
      <c r="G369">
        <v>126</v>
      </c>
      <c r="H369">
        <v>1</v>
      </c>
      <c r="I369">
        <v>3</v>
      </c>
      <c r="J369" s="1">
        <v>46151</v>
      </c>
      <c r="K369">
        <v>0.33</v>
      </c>
      <c r="L369">
        <v>1</v>
      </c>
      <c r="M369">
        <v>136</v>
      </c>
      <c r="N369">
        <v>3</v>
      </c>
      <c r="O369" t="str">
        <f t="shared" si="5"/>
        <v>101-200</v>
      </c>
    </row>
    <row r="370" spans="1:15" x14ac:dyDescent="0.35">
      <c r="A370" t="s">
        <v>577</v>
      </c>
      <c r="B370" t="s">
        <v>578</v>
      </c>
      <c r="C370" t="s">
        <v>25</v>
      </c>
      <c r="D370">
        <v>42.652940000000001</v>
      </c>
      <c r="E370">
        <v>-73.765110000000007</v>
      </c>
      <c r="F370" t="s">
        <v>22</v>
      </c>
      <c r="G370">
        <v>160</v>
      </c>
      <c r="H370">
        <v>1</v>
      </c>
      <c r="I370">
        <v>0</v>
      </c>
      <c r="K370">
        <v>0</v>
      </c>
      <c r="L370">
        <v>6</v>
      </c>
      <c r="M370">
        <v>359</v>
      </c>
      <c r="N370">
        <v>0</v>
      </c>
      <c r="O370" t="str">
        <f t="shared" si="5"/>
        <v>101-200</v>
      </c>
    </row>
    <row r="371" spans="1:15" x14ac:dyDescent="0.35">
      <c r="A371" t="s">
        <v>579</v>
      </c>
      <c r="B371" t="s">
        <v>578</v>
      </c>
      <c r="C371" t="s">
        <v>91</v>
      </c>
      <c r="D371">
        <v>42.674106128151202</v>
      </c>
      <c r="E371">
        <v>-73.750677670169907</v>
      </c>
      <c r="F371" t="s">
        <v>22</v>
      </c>
      <c r="G371">
        <v>174</v>
      </c>
      <c r="H371">
        <v>2</v>
      </c>
      <c r="I371">
        <v>1</v>
      </c>
      <c r="J371" s="1">
        <v>46107</v>
      </c>
      <c r="K371">
        <v>0.36</v>
      </c>
      <c r="L371">
        <v>6</v>
      </c>
      <c r="M371">
        <v>135</v>
      </c>
      <c r="N371">
        <v>1</v>
      </c>
      <c r="O371" t="str">
        <f t="shared" si="5"/>
        <v>101-200</v>
      </c>
    </row>
    <row r="372" spans="1:15" x14ac:dyDescent="0.35">
      <c r="A372" t="s">
        <v>580</v>
      </c>
      <c r="B372" t="s">
        <v>578</v>
      </c>
      <c r="C372" t="s">
        <v>25</v>
      </c>
      <c r="D372">
        <v>42.655619999999999</v>
      </c>
      <c r="E372">
        <v>-73.764449999999997</v>
      </c>
      <c r="F372" t="s">
        <v>22</v>
      </c>
      <c r="G372">
        <v>128</v>
      </c>
      <c r="H372">
        <v>2</v>
      </c>
      <c r="I372">
        <v>0</v>
      </c>
      <c r="K372">
        <v>0</v>
      </c>
      <c r="L372">
        <v>6</v>
      </c>
      <c r="M372">
        <v>358</v>
      </c>
      <c r="N372">
        <v>0</v>
      </c>
      <c r="O372" t="str">
        <f t="shared" si="5"/>
        <v>101-200</v>
      </c>
    </row>
    <row r="373" spans="1:15" x14ac:dyDescent="0.35">
      <c r="A373" t="s">
        <v>581</v>
      </c>
      <c r="B373" t="s">
        <v>578</v>
      </c>
      <c r="C373" t="s">
        <v>25</v>
      </c>
      <c r="D373">
        <v>42.654260000000001</v>
      </c>
      <c r="E373">
        <v>-73.763080000000002</v>
      </c>
      <c r="F373" t="s">
        <v>22</v>
      </c>
      <c r="G373">
        <v>116</v>
      </c>
      <c r="H373">
        <v>2</v>
      </c>
      <c r="I373">
        <v>1</v>
      </c>
      <c r="J373" s="1">
        <v>46091</v>
      </c>
      <c r="K373">
        <v>0.3</v>
      </c>
      <c r="L373">
        <v>6</v>
      </c>
      <c r="M373">
        <v>359</v>
      </c>
      <c r="N373">
        <v>1</v>
      </c>
      <c r="O373" t="str">
        <f t="shared" si="5"/>
        <v>101-200</v>
      </c>
    </row>
    <row r="374" spans="1:15" x14ac:dyDescent="0.35">
      <c r="A374" t="s">
        <v>582</v>
      </c>
      <c r="B374" t="s">
        <v>578</v>
      </c>
      <c r="C374" t="s">
        <v>25</v>
      </c>
      <c r="D374">
        <v>42.652279999999998</v>
      </c>
      <c r="E374">
        <v>-73.76491</v>
      </c>
      <c r="F374" t="s">
        <v>22</v>
      </c>
      <c r="G374">
        <v>137</v>
      </c>
      <c r="H374">
        <v>2</v>
      </c>
      <c r="I374">
        <v>0</v>
      </c>
      <c r="K374">
        <v>0</v>
      </c>
      <c r="L374">
        <v>6</v>
      </c>
      <c r="M374">
        <v>361</v>
      </c>
      <c r="N374">
        <v>0</v>
      </c>
      <c r="O374" t="str">
        <f t="shared" si="5"/>
        <v>101-200</v>
      </c>
    </row>
    <row r="375" spans="1:15" x14ac:dyDescent="0.35">
      <c r="A375" t="s">
        <v>583</v>
      </c>
      <c r="B375" t="s">
        <v>578</v>
      </c>
      <c r="C375" t="s">
        <v>25</v>
      </c>
      <c r="D375">
        <v>42.653030000000001</v>
      </c>
      <c r="E375">
        <v>-73.761009999999999</v>
      </c>
      <c r="F375" t="s">
        <v>22</v>
      </c>
      <c r="G375">
        <v>213</v>
      </c>
      <c r="H375">
        <v>2</v>
      </c>
      <c r="I375">
        <v>0</v>
      </c>
      <c r="K375">
        <v>0</v>
      </c>
      <c r="L375">
        <v>6</v>
      </c>
      <c r="M375">
        <v>358</v>
      </c>
      <c r="N375">
        <v>0</v>
      </c>
      <c r="O375" t="str">
        <f t="shared" si="5"/>
        <v>201-300</v>
      </c>
    </row>
    <row r="376" spans="1:15" x14ac:dyDescent="0.35">
      <c r="A376" t="s">
        <v>584</v>
      </c>
      <c r="B376" t="s">
        <v>33</v>
      </c>
      <c r="C376" t="s">
        <v>51</v>
      </c>
      <c r="D376">
        <v>42.655270000000002</v>
      </c>
      <c r="E376">
        <v>-73.785849999999996</v>
      </c>
      <c r="F376" t="s">
        <v>22</v>
      </c>
      <c r="G376">
        <v>193</v>
      </c>
      <c r="H376">
        <v>7</v>
      </c>
      <c r="I376">
        <v>1</v>
      </c>
      <c r="J376" s="1">
        <v>46010</v>
      </c>
      <c r="K376">
        <v>0.17</v>
      </c>
      <c r="L376">
        <v>11</v>
      </c>
      <c r="M376">
        <v>339</v>
      </c>
      <c r="N376">
        <v>1</v>
      </c>
      <c r="O376" t="str">
        <f t="shared" si="5"/>
        <v>101-200</v>
      </c>
    </row>
    <row r="377" spans="1:15" x14ac:dyDescent="0.35">
      <c r="A377" t="s">
        <v>585</v>
      </c>
      <c r="B377" t="s">
        <v>586</v>
      </c>
      <c r="C377" t="s">
        <v>47</v>
      </c>
      <c r="D377">
        <v>42.658410000000003</v>
      </c>
      <c r="E377">
        <v>-73.783209999999997</v>
      </c>
      <c r="F377" t="s">
        <v>22</v>
      </c>
      <c r="G377">
        <v>465</v>
      </c>
      <c r="H377">
        <v>1</v>
      </c>
      <c r="I377">
        <v>32</v>
      </c>
      <c r="J377" s="1">
        <v>46188</v>
      </c>
      <c r="K377">
        <v>6.19</v>
      </c>
      <c r="L377">
        <v>1</v>
      </c>
      <c r="M377">
        <v>320</v>
      </c>
      <c r="N377">
        <v>32</v>
      </c>
      <c r="O377" t="str">
        <f t="shared" si="5"/>
        <v>301-500</v>
      </c>
    </row>
    <row r="378" spans="1:15" x14ac:dyDescent="0.35">
      <c r="A378" t="s">
        <v>587</v>
      </c>
      <c r="B378" t="s">
        <v>504</v>
      </c>
      <c r="C378" t="s">
        <v>40</v>
      </c>
      <c r="D378">
        <v>42.681699999999999</v>
      </c>
      <c r="E378">
        <v>-73.784390000000002</v>
      </c>
      <c r="F378" t="s">
        <v>22</v>
      </c>
      <c r="G378">
        <v>102</v>
      </c>
      <c r="H378">
        <v>1</v>
      </c>
      <c r="I378">
        <v>5</v>
      </c>
      <c r="J378" s="1">
        <v>46137</v>
      </c>
      <c r="K378">
        <v>0.6</v>
      </c>
      <c r="L378">
        <v>29</v>
      </c>
      <c r="M378">
        <v>365</v>
      </c>
      <c r="N378">
        <v>5</v>
      </c>
      <c r="O378" t="str">
        <f t="shared" si="5"/>
        <v>101-200</v>
      </c>
    </row>
    <row r="379" spans="1:15" x14ac:dyDescent="0.35">
      <c r="A379" t="s">
        <v>588</v>
      </c>
      <c r="B379" t="s">
        <v>182</v>
      </c>
      <c r="C379" t="s">
        <v>25</v>
      </c>
      <c r="D379">
        <v>42.653930000000003</v>
      </c>
      <c r="E379">
        <v>-73.769300000000001</v>
      </c>
      <c r="F379" t="s">
        <v>22</v>
      </c>
      <c r="G379">
        <v>143</v>
      </c>
      <c r="H379">
        <v>1</v>
      </c>
      <c r="I379">
        <v>13</v>
      </c>
      <c r="J379" s="1">
        <v>46166</v>
      </c>
      <c r="K379">
        <v>1.78</v>
      </c>
      <c r="L379">
        <v>16</v>
      </c>
      <c r="M379">
        <v>329</v>
      </c>
      <c r="N379">
        <v>13</v>
      </c>
      <c r="O379" t="str">
        <f t="shared" si="5"/>
        <v>101-200</v>
      </c>
    </row>
    <row r="380" spans="1:15" x14ac:dyDescent="0.35">
      <c r="A380" t="s">
        <v>589</v>
      </c>
      <c r="B380" t="s">
        <v>590</v>
      </c>
      <c r="C380" t="s">
        <v>25</v>
      </c>
      <c r="D380">
        <v>42.653233540771701</v>
      </c>
      <c r="E380">
        <v>-73.767179511487399</v>
      </c>
      <c r="F380" t="s">
        <v>22</v>
      </c>
      <c r="G380">
        <v>234</v>
      </c>
      <c r="H380">
        <v>1</v>
      </c>
      <c r="I380">
        <v>3</v>
      </c>
      <c r="J380" s="1">
        <v>46125</v>
      </c>
      <c r="K380">
        <v>0.38</v>
      </c>
      <c r="L380">
        <v>2</v>
      </c>
      <c r="M380">
        <v>330</v>
      </c>
      <c r="N380">
        <v>3</v>
      </c>
      <c r="O380" t="str">
        <f t="shared" si="5"/>
        <v>201-300</v>
      </c>
    </row>
    <row r="381" spans="1:15" x14ac:dyDescent="0.35">
      <c r="A381" t="s">
        <v>591</v>
      </c>
      <c r="B381" t="s">
        <v>592</v>
      </c>
      <c r="C381" t="s">
        <v>51</v>
      </c>
      <c r="D381">
        <v>42.655391994210497</v>
      </c>
      <c r="E381">
        <v>-73.792231617409996</v>
      </c>
      <c r="F381" t="s">
        <v>31</v>
      </c>
      <c r="G381">
        <v>106</v>
      </c>
      <c r="H381">
        <v>1</v>
      </c>
      <c r="I381">
        <v>0</v>
      </c>
      <c r="K381">
        <v>0</v>
      </c>
      <c r="L381">
        <v>2</v>
      </c>
      <c r="M381">
        <v>125</v>
      </c>
      <c r="N381">
        <v>0</v>
      </c>
      <c r="O381" t="str">
        <f t="shared" si="5"/>
        <v>101-200</v>
      </c>
    </row>
    <row r="382" spans="1:15" x14ac:dyDescent="0.35">
      <c r="A382" t="s">
        <v>593</v>
      </c>
      <c r="B382" t="s">
        <v>182</v>
      </c>
      <c r="C382" t="s">
        <v>25</v>
      </c>
      <c r="D382">
        <v>42.654200000000003</v>
      </c>
      <c r="E382">
        <v>-73.771280000000004</v>
      </c>
      <c r="F382" t="s">
        <v>22</v>
      </c>
      <c r="G382">
        <v>210</v>
      </c>
      <c r="H382">
        <v>1</v>
      </c>
      <c r="I382">
        <v>27</v>
      </c>
      <c r="J382" s="1">
        <v>46174</v>
      </c>
      <c r="K382">
        <v>3.25</v>
      </c>
      <c r="L382">
        <v>16</v>
      </c>
      <c r="M382">
        <v>324</v>
      </c>
      <c r="N382">
        <v>27</v>
      </c>
      <c r="O382" t="str">
        <f t="shared" si="5"/>
        <v>201-300</v>
      </c>
    </row>
    <row r="383" spans="1:15" x14ac:dyDescent="0.35">
      <c r="A383" t="s">
        <v>594</v>
      </c>
      <c r="B383" t="s">
        <v>595</v>
      </c>
      <c r="C383" t="s">
        <v>84</v>
      </c>
      <c r="D383">
        <v>42.642732215973801</v>
      </c>
      <c r="E383">
        <v>-73.792087736185096</v>
      </c>
      <c r="F383" t="s">
        <v>22</v>
      </c>
      <c r="G383">
        <v>185</v>
      </c>
      <c r="H383">
        <v>1</v>
      </c>
      <c r="I383">
        <v>53</v>
      </c>
      <c r="J383" s="1">
        <v>46175</v>
      </c>
      <c r="K383">
        <v>6.6</v>
      </c>
      <c r="L383">
        <v>1</v>
      </c>
      <c r="M383">
        <v>282</v>
      </c>
      <c r="N383">
        <v>53</v>
      </c>
      <c r="O383" t="str">
        <f t="shared" si="5"/>
        <v>101-200</v>
      </c>
    </row>
    <row r="384" spans="1:15" x14ac:dyDescent="0.35">
      <c r="A384" t="s">
        <v>596</v>
      </c>
      <c r="B384" t="s">
        <v>597</v>
      </c>
      <c r="C384" t="s">
        <v>51</v>
      </c>
      <c r="D384">
        <v>42.647239999999996</v>
      </c>
      <c r="E384">
        <v>-73.791259999999994</v>
      </c>
      <c r="F384" t="s">
        <v>31</v>
      </c>
      <c r="G384">
        <v>109</v>
      </c>
      <c r="H384">
        <v>1</v>
      </c>
      <c r="I384">
        <v>12</v>
      </c>
      <c r="J384" s="1">
        <v>46187</v>
      </c>
      <c r="K384">
        <v>1.49</v>
      </c>
      <c r="L384">
        <v>1</v>
      </c>
      <c r="M384">
        <v>323</v>
      </c>
      <c r="N384">
        <v>12</v>
      </c>
      <c r="O384" t="str">
        <f t="shared" si="5"/>
        <v>101-200</v>
      </c>
    </row>
    <row r="385" spans="1:15" x14ac:dyDescent="0.35">
      <c r="A385" t="s">
        <v>598</v>
      </c>
      <c r="B385" t="s">
        <v>592</v>
      </c>
      <c r="C385" t="s">
        <v>51</v>
      </c>
      <c r="D385">
        <v>42.656019999999998</v>
      </c>
      <c r="E385">
        <v>-73.790930000000003</v>
      </c>
      <c r="F385" t="s">
        <v>31</v>
      </c>
      <c r="G385">
        <v>89</v>
      </c>
      <c r="H385">
        <v>1</v>
      </c>
      <c r="I385">
        <v>1</v>
      </c>
      <c r="J385" s="1">
        <v>46159</v>
      </c>
      <c r="K385">
        <v>1</v>
      </c>
      <c r="L385">
        <v>2</v>
      </c>
      <c r="M385">
        <v>313</v>
      </c>
      <c r="N385">
        <v>1</v>
      </c>
      <c r="O385" t="str">
        <f t="shared" si="5"/>
        <v>0-100</v>
      </c>
    </row>
    <row r="386" spans="1:15" x14ac:dyDescent="0.35">
      <c r="A386" t="s">
        <v>599</v>
      </c>
      <c r="B386" t="s">
        <v>504</v>
      </c>
      <c r="C386" t="s">
        <v>40</v>
      </c>
      <c r="D386">
        <v>42.68018</v>
      </c>
      <c r="E386">
        <v>-73.783749999999998</v>
      </c>
      <c r="F386" t="s">
        <v>22</v>
      </c>
      <c r="G386">
        <v>115</v>
      </c>
      <c r="H386">
        <v>1</v>
      </c>
      <c r="I386">
        <v>12</v>
      </c>
      <c r="J386" s="1">
        <v>46166</v>
      </c>
      <c r="K386">
        <v>1.65</v>
      </c>
      <c r="L386">
        <v>29</v>
      </c>
      <c r="M386">
        <v>351</v>
      </c>
      <c r="N386">
        <v>12</v>
      </c>
      <c r="O386" t="str">
        <f t="shared" ref="O386:O449" si="6">IF(G386&lt;=100,"0-100",
IF(G386&lt;=200,"101-200",
IF(G386&lt;=300,"201-300",
IF(G386&lt;=500,"301-500","500+"))))</f>
        <v>101-200</v>
      </c>
    </row>
    <row r="387" spans="1:15" x14ac:dyDescent="0.35">
      <c r="A387" t="s">
        <v>600</v>
      </c>
      <c r="B387" t="s">
        <v>504</v>
      </c>
      <c r="C387" t="s">
        <v>40</v>
      </c>
      <c r="D387">
        <v>42.680059999999997</v>
      </c>
      <c r="E387">
        <v>-73.784649999999999</v>
      </c>
      <c r="F387" t="s">
        <v>22</v>
      </c>
      <c r="G387">
        <v>105</v>
      </c>
      <c r="H387">
        <v>1</v>
      </c>
      <c r="I387">
        <v>3</v>
      </c>
      <c r="J387" s="1">
        <v>46082</v>
      </c>
      <c r="K387">
        <v>0.43</v>
      </c>
      <c r="L387">
        <v>29</v>
      </c>
      <c r="M387">
        <v>354</v>
      </c>
      <c r="N387">
        <v>3</v>
      </c>
      <c r="O387" t="str">
        <f t="shared" si="6"/>
        <v>101-200</v>
      </c>
    </row>
    <row r="388" spans="1:15" x14ac:dyDescent="0.35">
      <c r="A388" t="s">
        <v>601</v>
      </c>
      <c r="B388" t="s">
        <v>602</v>
      </c>
      <c r="C388" t="s">
        <v>117</v>
      </c>
      <c r="D388">
        <v>42.636220000000002</v>
      </c>
      <c r="E388">
        <v>-73.761520000000004</v>
      </c>
      <c r="F388" t="s">
        <v>22</v>
      </c>
      <c r="G388">
        <v>82</v>
      </c>
      <c r="H388">
        <v>1</v>
      </c>
      <c r="I388">
        <v>0</v>
      </c>
      <c r="K388">
        <v>0</v>
      </c>
      <c r="L388">
        <v>1</v>
      </c>
      <c r="M388">
        <v>351</v>
      </c>
      <c r="N388">
        <v>0</v>
      </c>
      <c r="O388" t="str">
        <f t="shared" si="6"/>
        <v>0-100</v>
      </c>
    </row>
    <row r="389" spans="1:15" x14ac:dyDescent="0.35">
      <c r="A389" t="s">
        <v>603</v>
      </c>
      <c r="B389" t="s">
        <v>213</v>
      </c>
      <c r="C389" t="s">
        <v>28</v>
      </c>
      <c r="D389">
        <v>42.646854310722702</v>
      </c>
      <c r="E389">
        <v>-73.758722506463499</v>
      </c>
      <c r="F389" t="s">
        <v>22</v>
      </c>
      <c r="G389">
        <v>539</v>
      </c>
      <c r="H389">
        <v>2</v>
      </c>
      <c r="I389">
        <v>17</v>
      </c>
      <c r="J389" s="1">
        <v>46166</v>
      </c>
      <c r="K389">
        <v>3.04</v>
      </c>
      <c r="L389">
        <v>3</v>
      </c>
      <c r="M389">
        <v>90</v>
      </c>
      <c r="N389">
        <v>17</v>
      </c>
      <c r="O389" t="str">
        <f t="shared" si="6"/>
        <v>500+</v>
      </c>
    </row>
    <row r="390" spans="1:15" x14ac:dyDescent="0.35">
      <c r="A390" t="s">
        <v>604</v>
      </c>
      <c r="B390" t="s">
        <v>605</v>
      </c>
      <c r="C390" t="s">
        <v>34</v>
      </c>
      <c r="D390">
        <v>42.658832699999998</v>
      </c>
      <c r="E390">
        <v>-73.801621699999998</v>
      </c>
      <c r="F390" t="s">
        <v>22</v>
      </c>
      <c r="G390">
        <v>253</v>
      </c>
      <c r="H390">
        <v>1</v>
      </c>
      <c r="I390">
        <v>13</v>
      </c>
      <c r="J390" s="1">
        <v>46182</v>
      </c>
      <c r="K390">
        <v>3.94</v>
      </c>
      <c r="L390">
        <v>2</v>
      </c>
      <c r="M390">
        <v>349</v>
      </c>
      <c r="N390">
        <v>13</v>
      </c>
      <c r="O390" t="str">
        <f t="shared" si="6"/>
        <v>201-300</v>
      </c>
    </row>
    <row r="391" spans="1:15" x14ac:dyDescent="0.35">
      <c r="A391" t="s">
        <v>606</v>
      </c>
      <c r="B391" t="s">
        <v>122</v>
      </c>
      <c r="C391" t="s">
        <v>47</v>
      </c>
      <c r="D391">
        <v>42.661825700000001</v>
      </c>
      <c r="E391">
        <v>-73.7869405</v>
      </c>
      <c r="F391" t="s">
        <v>31</v>
      </c>
      <c r="G391">
        <v>72</v>
      </c>
      <c r="H391">
        <v>28</v>
      </c>
      <c r="I391">
        <v>1</v>
      </c>
      <c r="J391" s="1">
        <v>46154</v>
      </c>
      <c r="K391">
        <v>0.83</v>
      </c>
      <c r="L391">
        <v>21</v>
      </c>
      <c r="M391">
        <v>312</v>
      </c>
      <c r="N391">
        <v>1</v>
      </c>
      <c r="O391" t="str">
        <f t="shared" si="6"/>
        <v>0-100</v>
      </c>
    </row>
    <row r="392" spans="1:15" x14ac:dyDescent="0.35">
      <c r="A392" t="s">
        <v>607</v>
      </c>
      <c r="B392" t="s">
        <v>24</v>
      </c>
      <c r="C392" t="s">
        <v>25</v>
      </c>
      <c r="D392">
        <v>42.653638559002999</v>
      </c>
      <c r="E392">
        <v>-73.766035156274995</v>
      </c>
      <c r="F392" t="s">
        <v>22</v>
      </c>
      <c r="G392">
        <v>119</v>
      </c>
      <c r="H392">
        <v>1</v>
      </c>
      <c r="I392">
        <v>19</v>
      </c>
      <c r="J392" s="1">
        <v>46184</v>
      </c>
      <c r="K392">
        <v>3.73</v>
      </c>
      <c r="L392">
        <v>7</v>
      </c>
      <c r="M392">
        <v>341</v>
      </c>
      <c r="N392">
        <v>19</v>
      </c>
      <c r="O392" t="str">
        <f t="shared" si="6"/>
        <v>101-200</v>
      </c>
    </row>
    <row r="393" spans="1:15" x14ac:dyDescent="0.35">
      <c r="A393" t="s">
        <v>608</v>
      </c>
      <c r="B393" t="s">
        <v>122</v>
      </c>
      <c r="C393" t="s">
        <v>47</v>
      </c>
      <c r="D393">
        <v>42.662719138095298</v>
      </c>
      <c r="E393">
        <v>-73.787792381253894</v>
      </c>
      <c r="F393" t="s">
        <v>31</v>
      </c>
      <c r="G393">
        <v>72</v>
      </c>
      <c r="H393">
        <v>28</v>
      </c>
      <c r="I393">
        <v>0</v>
      </c>
      <c r="K393">
        <v>0</v>
      </c>
      <c r="L393">
        <v>21</v>
      </c>
      <c r="M393">
        <v>320</v>
      </c>
      <c r="N393">
        <v>0</v>
      </c>
      <c r="O393" t="str">
        <f t="shared" si="6"/>
        <v>0-100</v>
      </c>
    </row>
    <row r="394" spans="1:15" x14ac:dyDescent="0.35">
      <c r="A394" t="s">
        <v>611</v>
      </c>
      <c r="B394" t="s">
        <v>504</v>
      </c>
      <c r="C394" t="s">
        <v>40</v>
      </c>
      <c r="D394">
        <v>42.679969999999997</v>
      </c>
      <c r="E394">
        <v>-73.783869999999993</v>
      </c>
      <c r="F394" t="s">
        <v>22</v>
      </c>
      <c r="G394">
        <v>95</v>
      </c>
      <c r="H394">
        <v>1</v>
      </c>
      <c r="I394">
        <v>4</v>
      </c>
      <c r="J394" s="1">
        <v>46159</v>
      </c>
      <c r="K394">
        <v>0.57999999999999996</v>
      </c>
      <c r="L394">
        <v>29</v>
      </c>
      <c r="M394">
        <v>365</v>
      </c>
      <c r="N394">
        <v>4</v>
      </c>
      <c r="O394" t="str">
        <f t="shared" si="6"/>
        <v>0-100</v>
      </c>
    </row>
    <row r="395" spans="1:15" x14ac:dyDescent="0.35">
      <c r="A395" t="s">
        <v>612</v>
      </c>
      <c r="B395" t="s">
        <v>613</v>
      </c>
      <c r="C395" t="s">
        <v>25</v>
      </c>
      <c r="D395">
        <v>42.650826799999997</v>
      </c>
      <c r="E395">
        <v>-73.766840199999905</v>
      </c>
      <c r="F395" t="s">
        <v>22</v>
      </c>
      <c r="G395">
        <v>177</v>
      </c>
      <c r="H395">
        <v>1</v>
      </c>
      <c r="I395">
        <v>3</v>
      </c>
      <c r="J395" s="1">
        <v>46016</v>
      </c>
      <c r="K395">
        <v>0.44</v>
      </c>
      <c r="L395">
        <v>1</v>
      </c>
      <c r="M395">
        <v>46</v>
      </c>
      <c r="N395">
        <v>3</v>
      </c>
      <c r="O395" t="str">
        <f t="shared" si="6"/>
        <v>101-200</v>
      </c>
    </row>
    <row r="396" spans="1:15" x14ac:dyDescent="0.35">
      <c r="A396" t="s">
        <v>614</v>
      </c>
      <c r="B396" t="s">
        <v>33</v>
      </c>
      <c r="C396" t="s">
        <v>51</v>
      </c>
      <c r="D396">
        <v>42.656440000000003</v>
      </c>
      <c r="E396">
        <v>-73.78689</v>
      </c>
      <c r="F396" t="s">
        <v>22</v>
      </c>
      <c r="G396">
        <v>159</v>
      </c>
      <c r="H396">
        <v>14</v>
      </c>
      <c r="I396">
        <v>1</v>
      </c>
      <c r="J396" s="1">
        <v>46122</v>
      </c>
      <c r="K396">
        <v>0.44</v>
      </c>
      <c r="L396">
        <v>11</v>
      </c>
      <c r="M396">
        <v>357</v>
      </c>
      <c r="N396">
        <v>1</v>
      </c>
      <c r="O396" t="str">
        <f t="shared" si="6"/>
        <v>101-200</v>
      </c>
    </row>
    <row r="397" spans="1:15" x14ac:dyDescent="0.35">
      <c r="A397" t="s">
        <v>615</v>
      </c>
      <c r="B397" t="s">
        <v>590</v>
      </c>
      <c r="C397" t="s">
        <v>25</v>
      </c>
      <c r="D397">
        <v>42.653880296695696</v>
      </c>
      <c r="E397">
        <v>-73.767976498557104</v>
      </c>
      <c r="F397" t="s">
        <v>22</v>
      </c>
      <c r="G397">
        <v>149</v>
      </c>
      <c r="H397">
        <v>2</v>
      </c>
      <c r="I397">
        <v>4</v>
      </c>
      <c r="J397" s="1">
        <v>46079</v>
      </c>
      <c r="K397">
        <v>0.86</v>
      </c>
      <c r="L397">
        <v>2</v>
      </c>
      <c r="M397">
        <v>288</v>
      </c>
      <c r="N397">
        <v>4</v>
      </c>
      <c r="O397" t="str">
        <f t="shared" si="6"/>
        <v>101-200</v>
      </c>
    </row>
    <row r="398" spans="1:15" x14ac:dyDescent="0.35">
      <c r="A398" t="s">
        <v>616</v>
      </c>
      <c r="B398" t="s">
        <v>504</v>
      </c>
      <c r="C398" t="s">
        <v>40</v>
      </c>
      <c r="D398">
        <v>42.681370000000001</v>
      </c>
      <c r="E398">
        <v>-73.785129999999995</v>
      </c>
      <c r="F398" t="s">
        <v>22</v>
      </c>
      <c r="G398">
        <v>85</v>
      </c>
      <c r="H398">
        <v>1</v>
      </c>
      <c r="I398">
        <v>14</v>
      </c>
      <c r="J398" s="1">
        <v>46174</v>
      </c>
      <c r="K398">
        <v>2.88</v>
      </c>
      <c r="L398">
        <v>29</v>
      </c>
      <c r="M398">
        <v>362</v>
      </c>
      <c r="N398">
        <v>14</v>
      </c>
      <c r="O398" t="str">
        <f t="shared" si="6"/>
        <v>0-100</v>
      </c>
    </row>
    <row r="399" spans="1:15" x14ac:dyDescent="0.35">
      <c r="A399" t="s">
        <v>617</v>
      </c>
      <c r="B399" t="s">
        <v>359</v>
      </c>
      <c r="C399" t="s">
        <v>25</v>
      </c>
      <c r="D399">
        <v>42.651955805017202</v>
      </c>
      <c r="E399">
        <v>-73.766967316906005</v>
      </c>
      <c r="F399" t="s">
        <v>22</v>
      </c>
      <c r="G399">
        <v>126</v>
      </c>
      <c r="H399">
        <v>1</v>
      </c>
      <c r="I399">
        <v>1</v>
      </c>
      <c r="J399" s="1">
        <v>46166</v>
      </c>
      <c r="K399">
        <v>1</v>
      </c>
      <c r="L399">
        <v>8</v>
      </c>
      <c r="M399">
        <v>26</v>
      </c>
      <c r="N399">
        <v>1</v>
      </c>
      <c r="O399" t="str">
        <f t="shared" si="6"/>
        <v>101-200</v>
      </c>
    </row>
    <row r="400" spans="1:15" x14ac:dyDescent="0.35">
      <c r="A400" t="s">
        <v>618</v>
      </c>
      <c r="B400" t="s">
        <v>430</v>
      </c>
      <c r="C400" t="s">
        <v>51</v>
      </c>
      <c r="D400">
        <v>42.655240209912002</v>
      </c>
      <c r="E400">
        <v>-73.798110745847197</v>
      </c>
      <c r="F400" t="s">
        <v>31</v>
      </c>
      <c r="G400">
        <v>77</v>
      </c>
      <c r="H400">
        <v>1</v>
      </c>
      <c r="I400">
        <v>3</v>
      </c>
      <c r="J400" s="1">
        <v>46069</v>
      </c>
      <c r="K400">
        <v>0.49</v>
      </c>
      <c r="L400">
        <v>3</v>
      </c>
      <c r="M400">
        <v>67</v>
      </c>
      <c r="N400">
        <v>3</v>
      </c>
      <c r="O400" t="str">
        <f t="shared" si="6"/>
        <v>0-100</v>
      </c>
    </row>
    <row r="401" spans="1:15" x14ac:dyDescent="0.35">
      <c r="A401" t="s">
        <v>622</v>
      </c>
      <c r="B401" t="s">
        <v>430</v>
      </c>
      <c r="C401" t="s">
        <v>51</v>
      </c>
      <c r="D401">
        <v>42.653190000000002</v>
      </c>
      <c r="E401">
        <v>-73.783869999999993</v>
      </c>
      <c r="F401" t="s">
        <v>31</v>
      </c>
      <c r="G401">
        <v>63</v>
      </c>
      <c r="H401">
        <v>7</v>
      </c>
      <c r="I401">
        <v>4</v>
      </c>
      <c r="J401" s="1">
        <v>46181</v>
      </c>
      <c r="K401">
        <v>0.83</v>
      </c>
      <c r="L401">
        <v>3</v>
      </c>
      <c r="M401">
        <v>189</v>
      </c>
      <c r="N401">
        <v>4</v>
      </c>
      <c r="O401" t="str">
        <f t="shared" si="6"/>
        <v>0-100</v>
      </c>
    </row>
    <row r="402" spans="1:15" x14ac:dyDescent="0.35">
      <c r="A402" t="s">
        <v>623</v>
      </c>
      <c r="B402" t="s">
        <v>504</v>
      </c>
      <c r="C402" t="s">
        <v>40</v>
      </c>
      <c r="D402">
        <v>42.681460000000001</v>
      </c>
      <c r="E402">
        <v>-73.78313</v>
      </c>
      <c r="F402" t="s">
        <v>22</v>
      </c>
      <c r="G402">
        <v>99</v>
      </c>
      <c r="H402">
        <v>1</v>
      </c>
      <c r="I402">
        <v>5</v>
      </c>
      <c r="J402" s="1">
        <v>46168</v>
      </c>
      <c r="K402">
        <v>1.47</v>
      </c>
      <c r="L402">
        <v>29</v>
      </c>
      <c r="M402">
        <v>362</v>
      </c>
      <c r="N402">
        <v>5</v>
      </c>
      <c r="O402" t="str">
        <f t="shared" si="6"/>
        <v>0-100</v>
      </c>
    </row>
    <row r="403" spans="1:15" x14ac:dyDescent="0.35">
      <c r="A403" t="s">
        <v>624</v>
      </c>
      <c r="B403" t="s">
        <v>504</v>
      </c>
      <c r="C403" t="s">
        <v>40</v>
      </c>
      <c r="D403">
        <v>42.680059999999997</v>
      </c>
      <c r="E403">
        <v>-73.783860000000004</v>
      </c>
      <c r="F403" t="s">
        <v>22</v>
      </c>
      <c r="G403">
        <v>91</v>
      </c>
      <c r="H403">
        <v>1</v>
      </c>
      <c r="I403">
        <v>9</v>
      </c>
      <c r="J403" s="1">
        <v>46158</v>
      </c>
      <c r="K403">
        <v>1.8</v>
      </c>
      <c r="L403">
        <v>29</v>
      </c>
      <c r="M403">
        <v>362</v>
      </c>
      <c r="N403">
        <v>9</v>
      </c>
      <c r="O403" t="str">
        <f t="shared" si="6"/>
        <v>0-100</v>
      </c>
    </row>
    <row r="404" spans="1:15" x14ac:dyDescent="0.35">
      <c r="A404" t="s">
        <v>625</v>
      </c>
      <c r="B404" t="s">
        <v>286</v>
      </c>
      <c r="C404" t="s">
        <v>68</v>
      </c>
      <c r="D404">
        <v>42.669580000000003</v>
      </c>
      <c r="E404">
        <v>-73.797219999999996</v>
      </c>
      <c r="F404" t="s">
        <v>22</v>
      </c>
      <c r="G404">
        <v>204</v>
      </c>
      <c r="H404">
        <v>4</v>
      </c>
      <c r="I404">
        <v>1</v>
      </c>
      <c r="J404" s="1">
        <v>46021</v>
      </c>
      <c r="K404">
        <v>0.18</v>
      </c>
      <c r="L404">
        <v>4</v>
      </c>
      <c r="M404">
        <v>329</v>
      </c>
      <c r="N404">
        <v>1</v>
      </c>
      <c r="O404" t="str">
        <f t="shared" si="6"/>
        <v>201-300</v>
      </c>
    </row>
    <row r="405" spans="1:15" x14ac:dyDescent="0.35">
      <c r="A405" t="s">
        <v>626</v>
      </c>
      <c r="B405" t="s">
        <v>627</v>
      </c>
      <c r="C405" t="s">
        <v>21</v>
      </c>
      <c r="D405">
        <v>42.655030600000003</v>
      </c>
      <c r="E405">
        <v>-73.751729400000002</v>
      </c>
      <c r="F405" t="s">
        <v>22</v>
      </c>
      <c r="G405">
        <v>190</v>
      </c>
      <c r="H405">
        <v>1</v>
      </c>
      <c r="I405">
        <v>14</v>
      </c>
      <c r="J405" s="1">
        <v>46159</v>
      </c>
      <c r="K405">
        <v>3.44</v>
      </c>
      <c r="L405">
        <v>1</v>
      </c>
      <c r="M405">
        <v>11</v>
      </c>
      <c r="N405">
        <v>14</v>
      </c>
      <c r="O405" t="str">
        <f t="shared" si="6"/>
        <v>101-200</v>
      </c>
    </row>
    <row r="406" spans="1:15" x14ac:dyDescent="0.35">
      <c r="A406" t="s">
        <v>628</v>
      </c>
      <c r="B406" t="s">
        <v>629</v>
      </c>
      <c r="C406" t="s">
        <v>84</v>
      </c>
      <c r="D406">
        <v>42.645139999999998</v>
      </c>
      <c r="E406">
        <v>-73.788659999999993</v>
      </c>
      <c r="F406" t="s">
        <v>22</v>
      </c>
      <c r="G406">
        <v>343</v>
      </c>
      <c r="H406">
        <v>1</v>
      </c>
      <c r="I406">
        <v>6</v>
      </c>
      <c r="J406" s="1">
        <v>46188</v>
      </c>
      <c r="K406">
        <v>2.4700000000000002</v>
      </c>
      <c r="L406">
        <v>1</v>
      </c>
      <c r="M406">
        <v>312</v>
      </c>
      <c r="N406">
        <v>6</v>
      </c>
      <c r="O406" t="str">
        <f t="shared" si="6"/>
        <v>301-500</v>
      </c>
    </row>
    <row r="407" spans="1:15" x14ac:dyDescent="0.35">
      <c r="A407" t="s">
        <v>630</v>
      </c>
      <c r="B407" t="s">
        <v>631</v>
      </c>
      <c r="C407" t="s">
        <v>28</v>
      </c>
      <c r="D407">
        <v>42.645337784122802</v>
      </c>
      <c r="E407">
        <v>-73.760164403704806</v>
      </c>
      <c r="F407" t="s">
        <v>22</v>
      </c>
      <c r="G407">
        <v>115</v>
      </c>
      <c r="H407">
        <v>1</v>
      </c>
      <c r="I407">
        <v>2</v>
      </c>
      <c r="J407" s="1">
        <v>46159</v>
      </c>
      <c r="K407">
        <v>1.87</v>
      </c>
      <c r="L407">
        <v>1</v>
      </c>
      <c r="M407">
        <v>340</v>
      </c>
      <c r="N407">
        <v>2</v>
      </c>
      <c r="O407" t="str">
        <f t="shared" si="6"/>
        <v>101-200</v>
      </c>
    </row>
    <row r="408" spans="1:15" x14ac:dyDescent="0.35">
      <c r="A408" t="s">
        <v>632</v>
      </c>
      <c r="B408" t="s">
        <v>132</v>
      </c>
      <c r="C408" t="s">
        <v>64</v>
      </c>
      <c r="D408">
        <v>42.6490130306859</v>
      </c>
      <c r="E408">
        <v>-73.766813916215199</v>
      </c>
      <c r="F408" t="s">
        <v>22</v>
      </c>
      <c r="G408">
        <v>269</v>
      </c>
      <c r="H408">
        <v>1</v>
      </c>
      <c r="I408">
        <v>6</v>
      </c>
      <c r="J408" s="1">
        <v>46159</v>
      </c>
      <c r="K408">
        <v>1.57</v>
      </c>
      <c r="L408">
        <v>16</v>
      </c>
      <c r="M408">
        <v>344</v>
      </c>
      <c r="N408">
        <v>6</v>
      </c>
      <c r="O408" t="str">
        <f t="shared" si="6"/>
        <v>201-300</v>
      </c>
    </row>
    <row r="409" spans="1:15" x14ac:dyDescent="0.35">
      <c r="A409" t="s">
        <v>633</v>
      </c>
      <c r="B409" t="s">
        <v>634</v>
      </c>
      <c r="C409" t="s">
        <v>84</v>
      </c>
      <c r="D409">
        <v>42.651620000000001</v>
      </c>
      <c r="E409">
        <v>-73.810770000000005</v>
      </c>
      <c r="F409" t="s">
        <v>22</v>
      </c>
      <c r="G409">
        <v>209</v>
      </c>
      <c r="H409">
        <v>2</v>
      </c>
      <c r="I409">
        <v>5</v>
      </c>
      <c r="J409" s="1">
        <v>46089</v>
      </c>
      <c r="K409">
        <v>1.23</v>
      </c>
      <c r="L409">
        <v>1</v>
      </c>
      <c r="M409">
        <v>166</v>
      </c>
      <c r="N409">
        <v>5</v>
      </c>
      <c r="O409" t="str">
        <f t="shared" si="6"/>
        <v>201-300</v>
      </c>
    </row>
    <row r="410" spans="1:15" x14ac:dyDescent="0.35">
      <c r="A410" t="s">
        <v>635</v>
      </c>
      <c r="B410" t="s">
        <v>354</v>
      </c>
      <c r="C410" t="s">
        <v>25</v>
      </c>
      <c r="D410">
        <v>42.654620000000001</v>
      </c>
      <c r="E410">
        <v>-73.760270000000006</v>
      </c>
      <c r="F410" t="s">
        <v>22</v>
      </c>
      <c r="G410">
        <v>185</v>
      </c>
      <c r="H410">
        <v>1</v>
      </c>
      <c r="I410">
        <v>11</v>
      </c>
      <c r="J410" s="1">
        <v>46164</v>
      </c>
      <c r="K410">
        <v>2.3199999999999998</v>
      </c>
      <c r="L410">
        <v>5</v>
      </c>
      <c r="M410">
        <v>361</v>
      </c>
      <c r="N410">
        <v>11</v>
      </c>
      <c r="O410" t="str">
        <f t="shared" si="6"/>
        <v>101-200</v>
      </c>
    </row>
    <row r="411" spans="1:15" x14ac:dyDescent="0.35">
      <c r="A411" t="s">
        <v>638</v>
      </c>
      <c r="B411" t="s">
        <v>504</v>
      </c>
      <c r="C411" t="s">
        <v>40</v>
      </c>
      <c r="D411">
        <v>42.681690000000003</v>
      </c>
      <c r="E411">
        <v>-73.784670000000006</v>
      </c>
      <c r="F411" t="s">
        <v>22</v>
      </c>
      <c r="G411">
        <v>83</v>
      </c>
      <c r="H411">
        <v>1</v>
      </c>
      <c r="I411">
        <v>1</v>
      </c>
      <c r="J411" s="1">
        <v>46069</v>
      </c>
      <c r="K411">
        <v>0.25</v>
      </c>
      <c r="L411">
        <v>29</v>
      </c>
      <c r="M411">
        <v>365</v>
      </c>
      <c r="N411">
        <v>1</v>
      </c>
      <c r="O411" t="str">
        <f t="shared" si="6"/>
        <v>0-100</v>
      </c>
    </row>
    <row r="412" spans="1:15" x14ac:dyDescent="0.35">
      <c r="A412" t="s">
        <v>639</v>
      </c>
      <c r="B412" t="s">
        <v>504</v>
      </c>
      <c r="C412" t="s">
        <v>40</v>
      </c>
      <c r="D412">
        <v>42.681660000000001</v>
      </c>
      <c r="E412">
        <v>-73.783370000000005</v>
      </c>
      <c r="F412" t="s">
        <v>22</v>
      </c>
      <c r="G412">
        <v>114</v>
      </c>
      <c r="H412">
        <v>1</v>
      </c>
      <c r="I412">
        <v>1</v>
      </c>
      <c r="J412" s="1">
        <v>46137</v>
      </c>
      <c r="K412">
        <v>0.56999999999999995</v>
      </c>
      <c r="L412">
        <v>29</v>
      </c>
      <c r="M412">
        <v>348</v>
      </c>
      <c r="N412">
        <v>1</v>
      </c>
      <c r="O412" t="str">
        <f t="shared" si="6"/>
        <v>101-200</v>
      </c>
    </row>
    <row r="413" spans="1:15" x14ac:dyDescent="0.35">
      <c r="A413" t="s">
        <v>640</v>
      </c>
      <c r="B413" t="s">
        <v>504</v>
      </c>
      <c r="C413" t="s">
        <v>40</v>
      </c>
      <c r="D413">
        <v>42.682310000000001</v>
      </c>
      <c r="E413">
        <v>-73.783209999999997</v>
      </c>
      <c r="F413" t="s">
        <v>22</v>
      </c>
      <c r="G413">
        <v>81</v>
      </c>
      <c r="H413">
        <v>1</v>
      </c>
      <c r="I413">
        <v>1</v>
      </c>
      <c r="J413" s="1">
        <v>46118</v>
      </c>
      <c r="K413">
        <v>0.42</v>
      </c>
      <c r="L413">
        <v>29</v>
      </c>
      <c r="M413">
        <v>364</v>
      </c>
      <c r="N413">
        <v>1</v>
      </c>
      <c r="O413" t="str">
        <f t="shared" si="6"/>
        <v>0-100</v>
      </c>
    </row>
    <row r="414" spans="1:15" x14ac:dyDescent="0.35">
      <c r="A414" t="s">
        <v>641</v>
      </c>
      <c r="B414" t="s">
        <v>122</v>
      </c>
      <c r="C414" t="s">
        <v>47</v>
      </c>
      <c r="D414">
        <v>42.662382679230497</v>
      </c>
      <c r="E414">
        <v>-73.786409262788894</v>
      </c>
      <c r="F414" t="s">
        <v>31</v>
      </c>
      <c r="G414">
        <v>72</v>
      </c>
      <c r="H414">
        <v>28</v>
      </c>
      <c r="I414">
        <v>1</v>
      </c>
      <c r="J414" s="1">
        <v>46151</v>
      </c>
      <c r="K414">
        <v>0.77</v>
      </c>
      <c r="L414">
        <v>21</v>
      </c>
      <c r="M414">
        <v>276</v>
      </c>
      <c r="N414">
        <v>1</v>
      </c>
      <c r="O414" t="str">
        <f t="shared" si="6"/>
        <v>0-100</v>
      </c>
    </row>
    <row r="415" spans="1:15" x14ac:dyDescent="0.35">
      <c r="A415" t="s">
        <v>642</v>
      </c>
      <c r="B415" t="s">
        <v>643</v>
      </c>
      <c r="C415" t="s">
        <v>117</v>
      </c>
      <c r="D415">
        <v>42.639190253752197</v>
      </c>
      <c r="E415">
        <v>-73.775329399999904</v>
      </c>
      <c r="F415" t="s">
        <v>22</v>
      </c>
      <c r="G415">
        <v>148</v>
      </c>
      <c r="H415">
        <v>1</v>
      </c>
      <c r="I415">
        <v>12</v>
      </c>
      <c r="J415" s="1">
        <v>46175</v>
      </c>
      <c r="K415">
        <v>3.6</v>
      </c>
      <c r="L415">
        <v>1</v>
      </c>
      <c r="M415">
        <v>119</v>
      </c>
      <c r="N415">
        <v>12</v>
      </c>
      <c r="O415" t="str">
        <f t="shared" si="6"/>
        <v>101-200</v>
      </c>
    </row>
    <row r="416" spans="1:15" x14ac:dyDescent="0.35">
      <c r="A416" t="s">
        <v>644</v>
      </c>
      <c r="B416" t="s">
        <v>24</v>
      </c>
      <c r="C416" t="s">
        <v>25</v>
      </c>
      <c r="D416">
        <v>42.652143698498499</v>
      </c>
      <c r="E416">
        <v>-73.767364318869696</v>
      </c>
      <c r="F416" t="s">
        <v>22</v>
      </c>
      <c r="G416">
        <v>164</v>
      </c>
      <c r="H416">
        <v>1</v>
      </c>
      <c r="I416">
        <v>22</v>
      </c>
      <c r="J416" s="1">
        <v>46180</v>
      </c>
      <c r="K416">
        <v>5.41</v>
      </c>
      <c r="L416">
        <v>7</v>
      </c>
      <c r="M416">
        <v>343</v>
      </c>
      <c r="N416">
        <v>22</v>
      </c>
      <c r="O416" t="str">
        <f t="shared" si="6"/>
        <v>101-200</v>
      </c>
    </row>
    <row r="417" spans="1:15" x14ac:dyDescent="0.35">
      <c r="A417" t="s">
        <v>645</v>
      </c>
      <c r="B417" t="s">
        <v>646</v>
      </c>
      <c r="C417" t="s">
        <v>25</v>
      </c>
      <c r="D417">
        <v>42.654580000000003</v>
      </c>
      <c r="E417">
        <v>-73.767750000000007</v>
      </c>
      <c r="F417" t="s">
        <v>31</v>
      </c>
      <c r="G417">
        <v>71</v>
      </c>
      <c r="H417">
        <v>1</v>
      </c>
      <c r="I417">
        <v>5</v>
      </c>
      <c r="J417" s="1">
        <v>46155</v>
      </c>
      <c r="K417">
        <v>1.3</v>
      </c>
      <c r="L417">
        <v>4</v>
      </c>
      <c r="M417">
        <v>339</v>
      </c>
      <c r="N417">
        <v>5</v>
      </c>
      <c r="O417" t="str">
        <f t="shared" si="6"/>
        <v>0-100</v>
      </c>
    </row>
    <row r="418" spans="1:15" x14ac:dyDescent="0.35">
      <c r="A418" t="s">
        <v>647</v>
      </c>
      <c r="B418" t="s">
        <v>122</v>
      </c>
      <c r="C418" t="s">
        <v>47</v>
      </c>
      <c r="D418">
        <v>42.661133141062699</v>
      </c>
      <c r="E418">
        <v>-73.787341723671503</v>
      </c>
      <c r="F418" t="s">
        <v>31</v>
      </c>
      <c r="G418">
        <v>77</v>
      </c>
      <c r="H418">
        <v>21</v>
      </c>
      <c r="I418">
        <v>0</v>
      </c>
      <c r="K418">
        <v>0</v>
      </c>
      <c r="L418">
        <v>21</v>
      </c>
      <c r="M418">
        <v>319</v>
      </c>
      <c r="N418">
        <v>0</v>
      </c>
      <c r="O418" t="str">
        <f t="shared" si="6"/>
        <v>0-100</v>
      </c>
    </row>
    <row r="419" spans="1:15" x14ac:dyDescent="0.35">
      <c r="A419" t="s">
        <v>648</v>
      </c>
      <c r="B419" t="s">
        <v>646</v>
      </c>
      <c r="C419" t="s">
        <v>25</v>
      </c>
      <c r="D419">
        <v>42.652981173089501</v>
      </c>
      <c r="E419">
        <v>-73.765667492880993</v>
      </c>
      <c r="F419" t="s">
        <v>22</v>
      </c>
      <c r="G419">
        <v>226</v>
      </c>
      <c r="H419">
        <v>1</v>
      </c>
      <c r="I419">
        <v>10</v>
      </c>
      <c r="J419" s="1">
        <v>46180</v>
      </c>
      <c r="K419">
        <v>3.75</v>
      </c>
      <c r="L419">
        <v>4</v>
      </c>
      <c r="M419">
        <v>334</v>
      </c>
      <c r="N419">
        <v>10</v>
      </c>
      <c r="O419" t="str">
        <f t="shared" si="6"/>
        <v>201-300</v>
      </c>
    </row>
    <row r="420" spans="1:15" x14ac:dyDescent="0.35">
      <c r="A420" t="s">
        <v>649</v>
      </c>
      <c r="B420" t="s">
        <v>176</v>
      </c>
      <c r="C420" t="s">
        <v>34</v>
      </c>
      <c r="D420">
        <v>42.658644799999998</v>
      </c>
      <c r="E420">
        <v>-73.802200399999904</v>
      </c>
      <c r="F420" t="s">
        <v>22</v>
      </c>
      <c r="G420">
        <v>288</v>
      </c>
      <c r="H420">
        <v>1</v>
      </c>
      <c r="I420">
        <v>9</v>
      </c>
      <c r="J420" s="1">
        <v>46186</v>
      </c>
      <c r="K420">
        <v>2.33</v>
      </c>
      <c r="L420">
        <v>4</v>
      </c>
      <c r="M420">
        <v>356</v>
      </c>
      <c r="N420">
        <v>9</v>
      </c>
      <c r="O420" t="str">
        <f t="shared" si="6"/>
        <v>201-300</v>
      </c>
    </row>
    <row r="421" spans="1:15" x14ac:dyDescent="0.35">
      <c r="A421" t="s">
        <v>645</v>
      </c>
      <c r="B421" t="s">
        <v>646</v>
      </c>
      <c r="C421" t="s">
        <v>25</v>
      </c>
      <c r="D421">
        <v>42.653889999999997</v>
      </c>
      <c r="E421">
        <v>-73.766159999999999</v>
      </c>
      <c r="F421" t="s">
        <v>31</v>
      </c>
      <c r="G421">
        <v>71</v>
      </c>
      <c r="H421">
        <v>1</v>
      </c>
      <c r="I421">
        <v>2</v>
      </c>
      <c r="J421" s="1">
        <v>46102</v>
      </c>
      <c r="K421">
        <v>0.64</v>
      </c>
      <c r="L421">
        <v>4</v>
      </c>
      <c r="M421">
        <v>335</v>
      </c>
      <c r="N421">
        <v>2</v>
      </c>
      <c r="O421" t="str">
        <f t="shared" si="6"/>
        <v>0-100</v>
      </c>
    </row>
    <row r="422" spans="1:15" x14ac:dyDescent="0.35">
      <c r="A422" t="s">
        <v>650</v>
      </c>
      <c r="B422" t="s">
        <v>646</v>
      </c>
      <c r="C422" t="s">
        <v>25</v>
      </c>
      <c r="D422">
        <v>42.653954187945203</v>
      </c>
      <c r="E422">
        <v>-73.766041518987805</v>
      </c>
      <c r="F422" t="s">
        <v>31</v>
      </c>
      <c r="G422">
        <v>71</v>
      </c>
      <c r="H422">
        <v>1</v>
      </c>
      <c r="I422">
        <v>5</v>
      </c>
      <c r="J422" s="1">
        <v>46128</v>
      </c>
      <c r="K422">
        <v>1.46</v>
      </c>
      <c r="L422">
        <v>4</v>
      </c>
      <c r="M422">
        <v>341</v>
      </c>
      <c r="N422">
        <v>5</v>
      </c>
      <c r="O422" t="str">
        <f t="shared" si="6"/>
        <v>0-100</v>
      </c>
    </row>
    <row r="423" spans="1:15" x14ac:dyDescent="0.35">
      <c r="A423" t="s">
        <v>651</v>
      </c>
      <c r="B423" t="s">
        <v>269</v>
      </c>
      <c r="C423" t="s">
        <v>64</v>
      </c>
      <c r="D423">
        <v>42.647449999999999</v>
      </c>
      <c r="E423">
        <v>-73.769679999999994</v>
      </c>
      <c r="F423" t="s">
        <v>22</v>
      </c>
      <c r="G423">
        <v>320</v>
      </c>
      <c r="H423">
        <v>1</v>
      </c>
      <c r="I423">
        <v>2</v>
      </c>
      <c r="J423" s="1">
        <v>46154</v>
      </c>
      <c r="K423">
        <v>0.64</v>
      </c>
      <c r="L423">
        <v>2</v>
      </c>
      <c r="M423">
        <v>353</v>
      </c>
      <c r="N423">
        <v>2</v>
      </c>
      <c r="O423" t="str">
        <f t="shared" si="6"/>
        <v>301-500</v>
      </c>
    </row>
    <row r="424" spans="1:15" x14ac:dyDescent="0.35">
      <c r="A424" t="s">
        <v>652</v>
      </c>
      <c r="B424" t="s">
        <v>544</v>
      </c>
      <c r="C424" t="s">
        <v>68</v>
      </c>
      <c r="D424">
        <v>42.6692387335817</v>
      </c>
      <c r="E424">
        <v>-73.797972192180694</v>
      </c>
      <c r="F424" t="s">
        <v>22</v>
      </c>
      <c r="G424">
        <v>158</v>
      </c>
      <c r="H424">
        <v>5</v>
      </c>
      <c r="I424">
        <v>3</v>
      </c>
      <c r="J424" s="1">
        <v>46110</v>
      </c>
      <c r="K424">
        <v>0.95</v>
      </c>
      <c r="L424">
        <v>5</v>
      </c>
      <c r="M424">
        <v>299</v>
      </c>
      <c r="N424">
        <v>3</v>
      </c>
      <c r="O424" t="str">
        <f t="shared" si="6"/>
        <v>101-200</v>
      </c>
    </row>
    <row r="425" spans="1:15" x14ac:dyDescent="0.35">
      <c r="A425" t="s">
        <v>653</v>
      </c>
      <c r="B425" t="s">
        <v>259</v>
      </c>
      <c r="C425" t="s">
        <v>51</v>
      </c>
      <c r="D425">
        <v>42.654995700000001</v>
      </c>
      <c r="E425">
        <v>-73.775721500000003</v>
      </c>
      <c r="F425" t="s">
        <v>22</v>
      </c>
      <c r="G425">
        <v>225</v>
      </c>
      <c r="H425">
        <v>1</v>
      </c>
      <c r="I425">
        <v>6</v>
      </c>
      <c r="J425" s="1">
        <v>46174</v>
      </c>
      <c r="K425">
        <v>2.0699999999999998</v>
      </c>
      <c r="L425">
        <v>3</v>
      </c>
      <c r="M425">
        <v>347</v>
      </c>
      <c r="N425">
        <v>6</v>
      </c>
      <c r="O425" t="str">
        <f t="shared" si="6"/>
        <v>201-300</v>
      </c>
    </row>
    <row r="426" spans="1:15" x14ac:dyDescent="0.35">
      <c r="A426" t="s">
        <v>654</v>
      </c>
      <c r="B426" t="s">
        <v>544</v>
      </c>
      <c r="C426" t="s">
        <v>34</v>
      </c>
      <c r="D426">
        <v>42.66827</v>
      </c>
      <c r="E426">
        <v>-73.798829999999995</v>
      </c>
      <c r="F426" t="s">
        <v>31</v>
      </c>
      <c r="G426">
        <v>50</v>
      </c>
      <c r="H426">
        <v>5</v>
      </c>
      <c r="I426">
        <v>0</v>
      </c>
      <c r="K426">
        <v>0</v>
      </c>
      <c r="L426">
        <v>5</v>
      </c>
      <c r="M426">
        <v>343</v>
      </c>
      <c r="N426">
        <v>0</v>
      </c>
      <c r="O426" t="str">
        <f t="shared" si="6"/>
        <v>0-100</v>
      </c>
    </row>
    <row r="427" spans="1:15" x14ac:dyDescent="0.35">
      <c r="A427" t="s">
        <v>655</v>
      </c>
      <c r="B427" t="s">
        <v>544</v>
      </c>
      <c r="C427" t="s">
        <v>34</v>
      </c>
      <c r="D427">
        <v>42.667830000000002</v>
      </c>
      <c r="E427">
        <v>-73.800529999999995</v>
      </c>
      <c r="F427" t="s">
        <v>31</v>
      </c>
      <c r="G427">
        <v>47</v>
      </c>
      <c r="H427">
        <v>5</v>
      </c>
      <c r="I427">
        <v>1</v>
      </c>
      <c r="J427" s="1">
        <v>46141</v>
      </c>
      <c r="K427">
        <v>0.61</v>
      </c>
      <c r="L427">
        <v>5</v>
      </c>
      <c r="M427">
        <v>310</v>
      </c>
      <c r="N427">
        <v>1</v>
      </c>
      <c r="O427" t="str">
        <f t="shared" si="6"/>
        <v>0-100</v>
      </c>
    </row>
    <row r="428" spans="1:15" x14ac:dyDescent="0.35">
      <c r="A428" t="s">
        <v>656</v>
      </c>
      <c r="B428" t="s">
        <v>544</v>
      </c>
      <c r="C428" t="s">
        <v>68</v>
      </c>
      <c r="D428">
        <v>42.66919</v>
      </c>
      <c r="E428">
        <v>-73.798649999999995</v>
      </c>
      <c r="F428" t="s">
        <v>31</v>
      </c>
      <c r="G428">
        <v>69</v>
      </c>
      <c r="H428">
        <v>5</v>
      </c>
      <c r="I428">
        <v>3</v>
      </c>
      <c r="J428" s="1">
        <v>46152</v>
      </c>
      <c r="K428">
        <v>1.32</v>
      </c>
      <c r="L428">
        <v>5</v>
      </c>
      <c r="M428">
        <v>299</v>
      </c>
      <c r="N428">
        <v>3</v>
      </c>
      <c r="O428" t="str">
        <f t="shared" si="6"/>
        <v>0-100</v>
      </c>
    </row>
    <row r="429" spans="1:15" x14ac:dyDescent="0.35">
      <c r="A429" t="s">
        <v>657</v>
      </c>
      <c r="B429" t="s">
        <v>658</v>
      </c>
      <c r="C429" t="s">
        <v>51</v>
      </c>
      <c r="D429">
        <v>42.654269999999997</v>
      </c>
      <c r="E429">
        <v>-73.786450000000002</v>
      </c>
      <c r="F429" t="s">
        <v>22</v>
      </c>
      <c r="G429">
        <v>150</v>
      </c>
      <c r="H429">
        <v>2</v>
      </c>
      <c r="I429">
        <v>8</v>
      </c>
      <c r="J429" s="1">
        <v>46187</v>
      </c>
      <c r="K429">
        <v>3.04</v>
      </c>
      <c r="L429">
        <v>1</v>
      </c>
      <c r="M429">
        <v>349</v>
      </c>
      <c r="N429">
        <v>8</v>
      </c>
      <c r="O429" t="str">
        <f t="shared" si="6"/>
        <v>101-200</v>
      </c>
    </row>
    <row r="430" spans="1:15" x14ac:dyDescent="0.35">
      <c r="A430" t="s">
        <v>659</v>
      </c>
      <c r="B430" t="s">
        <v>660</v>
      </c>
      <c r="C430" t="s">
        <v>21</v>
      </c>
      <c r="D430">
        <v>42.645488999999998</v>
      </c>
      <c r="E430">
        <v>-73.750291599999997</v>
      </c>
      <c r="F430" t="s">
        <v>537</v>
      </c>
      <c r="G430">
        <v>124</v>
      </c>
      <c r="H430">
        <v>1</v>
      </c>
      <c r="I430">
        <v>0</v>
      </c>
      <c r="K430">
        <v>0</v>
      </c>
      <c r="L430">
        <v>8</v>
      </c>
      <c r="M430">
        <v>313</v>
      </c>
      <c r="N430">
        <v>0</v>
      </c>
      <c r="O430" t="str">
        <f t="shared" si="6"/>
        <v>101-200</v>
      </c>
    </row>
    <row r="431" spans="1:15" x14ac:dyDescent="0.35">
      <c r="A431" t="s">
        <v>661</v>
      </c>
      <c r="B431" t="s">
        <v>660</v>
      </c>
      <c r="C431" t="s">
        <v>21</v>
      </c>
      <c r="D431">
        <v>42.645488999999998</v>
      </c>
      <c r="E431">
        <v>-73.750291599999997</v>
      </c>
      <c r="F431" t="s">
        <v>537</v>
      </c>
      <c r="G431">
        <v>124</v>
      </c>
      <c r="H431">
        <v>1</v>
      </c>
      <c r="I431">
        <v>0</v>
      </c>
      <c r="K431">
        <v>0</v>
      </c>
      <c r="L431">
        <v>8</v>
      </c>
      <c r="M431">
        <v>313</v>
      </c>
      <c r="N431">
        <v>0</v>
      </c>
      <c r="O431" t="str">
        <f t="shared" si="6"/>
        <v>101-200</v>
      </c>
    </row>
    <row r="432" spans="1:15" x14ac:dyDescent="0.35">
      <c r="A432" t="s">
        <v>662</v>
      </c>
      <c r="B432" t="s">
        <v>660</v>
      </c>
      <c r="C432" t="s">
        <v>21</v>
      </c>
      <c r="D432">
        <v>42.645488999999998</v>
      </c>
      <c r="E432">
        <v>-73.750291599999997</v>
      </c>
      <c r="F432" t="s">
        <v>537</v>
      </c>
      <c r="G432">
        <v>248</v>
      </c>
      <c r="H432">
        <v>1</v>
      </c>
      <c r="I432">
        <v>0</v>
      </c>
      <c r="K432">
        <v>0</v>
      </c>
      <c r="L432">
        <v>8</v>
      </c>
      <c r="M432">
        <v>312</v>
      </c>
      <c r="N432">
        <v>0</v>
      </c>
      <c r="O432" t="str">
        <f t="shared" si="6"/>
        <v>201-300</v>
      </c>
    </row>
    <row r="433" spans="1:15" x14ac:dyDescent="0.35">
      <c r="A433" t="s">
        <v>663</v>
      </c>
      <c r="B433" t="s">
        <v>660</v>
      </c>
      <c r="C433" t="s">
        <v>21</v>
      </c>
      <c r="D433">
        <v>42.645488999999998</v>
      </c>
      <c r="E433">
        <v>-73.750291599999997</v>
      </c>
      <c r="F433" t="s">
        <v>537</v>
      </c>
      <c r="G433">
        <v>248</v>
      </c>
      <c r="H433">
        <v>1</v>
      </c>
      <c r="I433">
        <v>0</v>
      </c>
      <c r="K433">
        <v>0</v>
      </c>
      <c r="L433">
        <v>8</v>
      </c>
      <c r="M433">
        <v>312</v>
      </c>
      <c r="N433">
        <v>0</v>
      </c>
      <c r="O433" t="str">
        <f t="shared" si="6"/>
        <v>201-300</v>
      </c>
    </row>
    <row r="434" spans="1:15" x14ac:dyDescent="0.35">
      <c r="A434" t="s">
        <v>664</v>
      </c>
      <c r="B434" t="s">
        <v>660</v>
      </c>
      <c r="C434" t="s">
        <v>21</v>
      </c>
      <c r="D434">
        <v>42.645490000000002</v>
      </c>
      <c r="E434">
        <v>-73.750290000000007</v>
      </c>
      <c r="F434" t="s">
        <v>537</v>
      </c>
      <c r="G434">
        <v>372</v>
      </c>
      <c r="H434">
        <v>1</v>
      </c>
      <c r="I434">
        <v>0</v>
      </c>
      <c r="K434">
        <v>0</v>
      </c>
      <c r="L434">
        <v>8</v>
      </c>
      <c r="M434">
        <v>312</v>
      </c>
      <c r="N434">
        <v>0</v>
      </c>
      <c r="O434" t="str">
        <f t="shared" si="6"/>
        <v>301-500</v>
      </c>
    </row>
    <row r="435" spans="1:15" x14ac:dyDescent="0.35">
      <c r="A435" t="s">
        <v>665</v>
      </c>
      <c r="B435" t="s">
        <v>660</v>
      </c>
      <c r="C435" t="s">
        <v>21</v>
      </c>
      <c r="D435">
        <v>42.645488999999998</v>
      </c>
      <c r="E435">
        <v>-73.750291599999997</v>
      </c>
      <c r="F435" t="s">
        <v>537</v>
      </c>
      <c r="G435">
        <v>372</v>
      </c>
      <c r="H435">
        <v>1</v>
      </c>
      <c r="I435">
        <v>0</v>
      </c>
      <c r="K435">
        <v>0</v>
      </c>
      <c r="L435">
        <v>8</v>
      </c>
      <c r="M435">
        <v>312</v>
      </c>
      <c r="N435">
        <v>0</v>
      </c>
      <c r="O435" t="str">
        <f t="shared" si="6"/>
        <v>301-500</v>
      </c>
    </row>
    <row r="436" spans="1:15" x14ac:dyDescent="0.35">
      <c r="A436" t="s">
        <v>666</v>
      </c>
      <c r="B436" t="s">
        <v>660</v>
      </c>
      <c r="C436" t="s">
        <v>21</v>
      </c>
      <c r="D436">
        <v>42.645488999999998</v>
      </c>
      <c r="E436">
        <v>-73.750291599999997</v>
      </c>
      <c r="F436" t="s">
        <v>537</v>
      </c>
      <c r="G436">
        <v>124</v>
      </c>
      <c r="H436">
        <v>1</v>
      </c>
      <c r="I436">
        <v>0</v>
      </c>
      <c r="K436">
        <v>0</v>
      </c>
      <c r="L436">
        <v>8</v>
      </c>
      <c r="M436">
        <v>316</v>
      </c>
      <c r="N436">
        <v>0</v>
      </c>
      <c r="O436" t="str">
        <f t="shared" si="6"/>
        <v>101-200</v>
      </c>
    </row>
    <row r="437" spans="1:15" x14ac:dyDescent="0.35">
      <c r="A437" t="s">
        <v>667</v>
      </c>
      <c r="B437" t="s">
        <v>660</v>
      </c>
      <c r="C437" t="s">
        <v>21</v>
      </c>
      <c r="D437">
        <v>42.645488999999998</v>
      </c>
      <c r="E437">
        <v>-73.750291599999997</v>
      </c>
      <c r="F437" t="s">
        <v>537</v>
      </c>
      <c r="G437">
        <v>124</v>
      </c>
      <c r="H437">
        <v>1</v>
      </c>
      <c r="I437">
        <v>0</v>
      </c>
      <c r="K437">
        <v>0</v>
      </c>
      <c r="L437">
        <v>8</v>
      </c>
      <c r="M437">
        <v>316</v>
      </c>
      <c r="N437">
        <v>0</v>
      </c>
      <c r="O437" t="str">
        <f t="shared" si="6"/>
        <v>101-200</v>
      </c>
    </row>
    <row r="438" spans="1:15" x14ac:dyDescent="0.35">
      <c r="A438" t="s">
        <v>668</v>
      </c>
      <c r="B438" t="s">
        <v>669</v>
      </c>
      <c r="C438" t="s">
        <v>25</v>
      </c>
      <c r="D438">
        <v>42.653840000000002</v>
      </c>
      <c r="E438">
        <v>-73.767629999999997</v>
      </c>
      <c r="F438" t="s">
        <v>22</v>
      </c>
      <c r="G438">
        <v>133</v>
      </c>
      <c r="H438">
        <v>3</v>
      </c>
      <c r="I438">
        <v>6</v>
      </c>
      <c r="J438" s="1">
        <v>46176</v>
      </c>
      <c r="K438">
        <v>2.31</v>
      </c>
      <c r="L438">
        <v>2</v>
      </c>
      <c r="M438">
        <v>331</v>
      </c>
      <c r="N438">
        <v>6</v>
      </c>
      <c r="O438" t="str">
        <f t="shared" si="6"/>
        <v>101-200</v>
      </c>
    </row>
    <row r="439" spans="1:15" x14ac:dyDescent="0.35">
      <c r="A439" t="s">
        <v>670</v>
      </c>
      <c r="B439" t="s">
        <v>182</v>
      </c>
      <c r="C439" t="s">
        <v>25</v>
      </c>
      <c r="D439">
        <v>42.653632500000001</v>
      </c>
      <c r="E439">
        <v>-73.770234799999997</v>
      </c>
      <c r="F439" t="s">
        <v>22</v>
      </c>
      <c r="G439">
        <v>166</v>
      </c>
      <c r="H439">
        <v>1</v>
      </c>
      <c r="I439">
        <v>6</v>
      </c>
      <c r="J439" s="1">
        <v>46165</v>
      </c>
      <c r="K439">
        <v>2.65</v>
      </c>
      <c r="L439">
        <v>16</v>
      </c>
      <c r="M439">
        <v>336</v>
      </c>
      <c r="N439">
        <v>6</v>
      </c>
      <c r="O439" t="str">
        <f t="shared" si="6"/>
        <v>101-200</v>
      </c>
    </row>
    <row r="440" spans="1:15" x14ac:dyDescent="0.35">
      <c r="A440" t="s">
        <v>671</v>
      </c>
      <c r="B440" t="s">
        <v>672</v>
      </c>
      <c r="C440" t="s">
        <v>51</v>
      </c>
      <c r="D440">
        <v>42.655439999999999</v>
      </c>
      <c r="E440">
        <v>-73.776790000000005</v>
      </c>
      <c r="F440" t="s">
        <v>22</v>
      </c>
      <c r="G440">
        <v>160</v>
      </c>
      <c r="H440">
        <v>1</v>
      </c>
      <c r="I440">
        <v>6</v>
      </c>
      <c r="J440" s="1">
        <v>46167</v>
      </c>
      <c r="K440">
        <v>2.77</v>
      </c>
      <c r="L440">
        <v>1</v>
      </c>
      <c r="M440">
        <v>13</v>
      </c>
      <c r="N440">
        <v>6</v>
      </c>
      <c r="O440" t="str">
        <f t="shared" si="6"/>
        <v>101-200</v>
      </c>
    </row>
    <row r="441" spans="1:15" x14ac:dyDescent="0.35">
      <c r="A441" t="s">
        <v>673</v>
      </c>
      <c r="B441" t="s">
        <v>674</v>
      </c>
      <c r="C441" t="s">
        <v>47</v>
      </c>
      <c r="D441">
        <v>42.661799999999999</v>
      </c>
      <c r="E441">
        <v>-73.790099999999995</v>
      </c>
      <c r="F441" t="s">
        <v>22</v>
      </c>
      <c r="G441">
        <v>442</v>
      </c>
      <c r="H441">
        <v>1</v>
      </c>
      <c r="I441">
        <v>2</v>
      </c>
      <c r="J441" s="1">
        <v>46173</v>
      </c>
      <c r="K441">
        <v>2</v>
      </c>
      <c r="L441">
        <v>1</v>
      </c>
      <c r="M441">
        <v>35</v>
      </c>
      <c r="N441">
        <v>2</v>
      </c>
      <c r="O441" t="str">
        <f t="shared" si="6"/>
        <v>301-500</v>
      </c>
    </row>
    <row r="442" spans="1:15" x14ac:dyDescent="0.35">
      <c r="A442" t="s">
        <v>675</v>
      </c>
      <c r="B442" t="s">
        <v>669</v>
      </c>
      <c r="C442" t="s">
        <v>25</v>
      </c>
      <c r="D442">
        <v>42.653559999999999</v>
      </c>
      <c r="E442">
        <v>-73.767439999999993</v>
      </c>
      <c r="F442" t="s">
        <v>22</v>
      </c>
      <c r="G442">
        <v>132</v>
      </c>
      <c r="H442">
        <v>3</v>
      </c>
      <c r="I442">
        <v>5</v>
      </c>
      <c r="J442" s="1">
        <v>46183</v>
      </c>
      <c r="K442">
        <v>2.68</v>
      </c>
      <c r="L442">
        <v>2</v>
      </c>
      <c r="M442">
        <v>335</v>
      </c>
      <c r="N442">
        <v>5</v>
      </c>
      <c r="O442" t="str">
        <f t="shared" si="6"/>
        <v>101-200</v>
      </c>
    </row>
    <row r="443" spans="1:15" x14ac:dyDescent="0.35">
      <c r="A443" t="s">
        <v>676</v>
      </c>
      <c r="B443" t="s">
        <v>677</v>
      </c>
      <c r="C443" t="s">
        <v>25</v>
      </c>
      <c r="D443">
        <v>42.6518923560931</v>
      </c>
      <c r="E443">
        <v>-73.765306659042807</v>
      </c>
      <c r="F443" t="s">
        <v>22</v>
      </c>
      <c r="G443">
        <v>125</v>
      </c>
      <c r="H443">
        <v>1</v>
      </c>
      <c r="I443">
        <v>14</v>
      </c>
      <c r="J443" s="1">
        <v>46181</v>
      </c>
      <c r="K443">
        <v>7.12</v>
      </c>
      <c r="L443">
        <v>1</v>
      </c>
      <c r="M443">
        <v>315</v>
      </c>
      <c r="N443">
        <v>14</v>
      </c>
      <c r="O443" t="str">
        <f t="shared" si="6"/>
        <v>101-200</v>
      </c>
    </row>
    <row r="444" spans="1:15" x14ac:dyDescent="0.35">
      <c r="A444" t="s">
        <v>678</v>
      </c>
      <c r="B444" t="s">
        <v>426</v>
      </c>
      <c r="C444" t="s">
        <v>47</v>
      </c>
      <c r="D444">
        <v>42.660078222164998</v>
      </c>
      <c r="E444">
        <v>-73.782032768403397</v>
      </c>
      <c r="F444" t="s">
        <v>31</v>
      </c>
      <c r="G444">
        <v>45</v>
      </c>
      <c r="H444">
        <v>28</v>
      </c>
      <c r="I444">
        <v>0</v>
      </c>
      <c r="K444">
        <v>0</v>
      </c>
      <c r="L444">
        <v>8</v>
      </c>
      <c r="M444">
        <v>361</v>
      </c>
      <c r="N444">
        <v>0</v>
      </c>
      <c r="O444" t="str">
        <f t="shared" si="6"/>
        <v>0-100</v>
      </c>
    </row>
    <row r="445" spans="1:15" x14ac:dyDescent="0.35">
      <c r="A445" t="s">
        <v>679</v>
      </c>
      <c r="B445" t="s">
        <v>504</v>
      </c>
      <c r="C445" t="s">
        <v>270</v>
      </c>
      <c r="D445">
        <v>42.682282862427499</v>
      </c>
      <c r="E445">
        <v>-73.785031447993802</v>
      </c>
      <c r="F445" t="s">
        <v>22</v>
      </c>
      <c r="G445">
        <v>89</v>
      </c>
      <c r="H445">
        <v>1</v>
      </c>
      <c r="I445">
        <v>1</v>
      </c>
      <c r="J445" s="1">
        <v>46189</v>
      </c>
      <c r="K445">
        <v>1</v>
      </c>
      <c r="L445">
        <v>29</v>
      </c>
      <c r="M445">
        <v>365</v>
      </c>
      <c r="N445">
        <v>1</v>
      </c>
      <c r="O445" t="str">
        <f t="shared" si="6"/>
        <v>0-100</v>
      </c>
    </row>
    <row r="446" spans="1:15" x14ac:dyDescent="0.35">
      <c r="A446" t="s">
        <v>680</v>
      </c>
      <c r="B446" t="s">
        <v>359</v>
      </c>
      <c r="C446" t="s">
        <v>25</v>
      </c>
      <c r="D446">
        <v>42.653409670923601</v>
      </c>
      <c r="E446">
        <v>-73.767911944184902</v>
      </c>
      <c r="F446" t="s">
        <v>22</v>
      </c>
      <c r="G446">
        <v>124</v>
      </c>
      <c r="H446">
        <v>2</v>
      </c>
      <c r="I446">
        <v>4</v>
      </c>
      <c r="J446" s="1">
        <v>46168</v>
      </c>
      <c r="K446">
        <v>2.73</v>
      </c>
      <c r="L446">
        <v>8</v>
      </c>
      <c r="M446">
        <v>244</v>
      </c>
      <c r="N446">
        <v>4</v>
      </c>
      <c r="O446" t="str">
        <f t="shared" si="6"/>
        <v>101-200</v>
      </c>
    </row>
    <row r="447" spans="1:15" x14ac:dyDescent="0.35">
      <c r="A447" t="s">
        <v>681</v>
      </c>
      <c r="B447" t="s">
        <v>182</v>
      </c>
      <c r="C447" t="s">
        <v>25</v>
      </c>
      <c r="D447">
        <v>42.653632500000001</v>
      </c>
      <c r="E447">
        <v>-73.770234799999997</v>
      </c>
      <c r="F447" t="s">
        <v>22</v>
      </c>
      <c r="G447">
        <v>208</v>
      </c>
      <c r="H447">
        <v>1</v>
      </c>
      <c r="I447">
        <v>1</v>
      </c>
      <c r="J447" s="1">
        <v>46179</v>
      </c>
      <c r="K447">
        <v>1</v>
      </c>
      <c r="L447">
        <v>16</v>
      </c>
      <c r="M447">
        <v>351</v>
      </c>
      <c r="N447">
        <v>1</v>
      </c>
      <c r="O447" t="str">
        <f t="shared" si="6"/>
        <v>201-300</v>
      </c>
    </row>
    <row r="448" spans="1:15" x14ac:dyDescent="0.35">
      <c r="A448" t="s">
        <v>682</v>
      </c>
      <c r="B448" t="s">
        <v>683</v>
      </c>
      <c r="C448" t="s">
        <v>40</v>
      </c>
      <c r="D448">
        <v>42.667479999999998</v>
      </c>
      <c r="E448">
        <v>-73.776809999999998</v>
      </c>
      <c r="F448" t="s">
        <v>31</v>
      </c>
      <c r="G448">
        <v>42</v>
      </c>
      <c r="H448">
        <v>30</v>
      </c>
      <c r="I448">
        <v>0</v>
      </c>
      <c r="K448">
        <v>0</v>
      </c>
      <c r="L448">
        <v>1</v>
      </c>
      <c r="M448">
        <v>163</v>
      </c>
      <c r="N448">
        <v>0</v>
      </c>
      <c r="O448" t="str">
        <f t="shared" si="6"/>
        <v>0-100</v>
      </c>
    </row>
    <row r="449" spans="1:15" x14ac:dyDescent="0.35">
      <c r="A449" t="s">
        <v>684</v>
      </c>
      <c r="B449" t="s">
        <v>685</v>
      </c>
      <c r="C449" t="s">
        <v>117</v>
      </c>
      <c r="D449">
        <v>42.637875800000003</v>
      </c>
      <c r="E449">
        <v>-73.759429299999994</v>
      </c>
      <c r="F449" t="s">
        <v>22</v>
      </c>
      <c r="G449">
        <v>224</v>
      </c>
      <c r="H449">
        <v>1</v>
      </c>
      <c r="I449">
        <v>2</v>
      </c>
      <c r="J449" s="1">
        <v>46180</v>
      </c>
      <c r="K449">
        <v>2</v>
      </c>
      <c r="L449">
        <v>1</v>
      </c>
      <c r="M449">
        <v>362</v>
      </c>
      <c r="N449">
        <v>2</v>
      </c>
      <c r="O449" t="str">
        <f t="shared" si="6"/>
        <v>201-300</v>
      </c>
    </row>
    <row r="450" spans="1:15" x14ac:dyDescent="0.35">
      <c r="A450" t="s">
        <v>686</v>
      </c>
      <c r="B450" t="s">
        <v>504</v>
      </c>
      <c r="C450" t="s">
        <v>40</v>
      </c>
      <c r="D450">
        <v>42.680140000000002</v>
      </c>
      <c r="E450">
        <v>-73.784379999999999</v>
      </c>
      <c r="F450" t="s">
        <v>22</v>
      </c>
      <c r="G450">
        <v>96</v>
      </c>
      <c r="H450">
        <v>1</v>
      </c>
      <c r="I450">
        <v>3</v>
      </c>
      <c r="J450" s="1">
        <v>46171</v>
      </c>
      <c r="K450">
        <v>2.73</v>
      </c>
      <c r="L450">
        <v>29</v>
      </c>
      <c r="M450">
        <v>362</v>
      </c>
      <c r="N450">
        <v>3</v>
      </c>
      <c r="O450" t="str">
        <f t="shared" ref="O450:O459" si="7">IF(G450&lt;=100,"0-100",
IF(G450&lt;=200,"101-200",
IF(G450&lt;=300,"201-300",
IF(G450&lt;=500,"301-500","500+"))))</f>
        <v>0-100</v>
      </c>
    </row>
    <row r="451" spans="1:15" x14ac:dyDescent="0.35">
      <c r="A451" t="s">
        <v>687</v>
      </c>
      <c r="B451" t="s">
        <v>504</v>
      </c>
      <c r="C451" t="s">
        <v>40</v>
      </c>
      <c r="D451">
        <v>42.681399999999996</v>
      </c>
      <c r="E451">
        <v>-73.784300000000002</v>
      </c>
      <c r="F451" t="s">
        <v>22</v>
      </c>
      <c r="G451">
        <v>97</v>
      </c>
      <c r="H451">
        <v>1</v>
      </c>
      <c r="I451">
        <v>1</v>
      </c>
      <c r="J451" s="1">
        <v>46159</v>
      </c>
      <c r="K451">
        <v>1</v>
      </c>
      <c r="L451">
        <v>29</v>
      </c>
      <c r="M451">
        <v>364</v>
      </c>
      <c r="N451">
        <v>1</v>
      </c>
      <c r="O451" t="str">
        <f t="shared" si="7"/>
        <v>0-100</v>
      </c>
    </row>
    <row r="452" spans="1:15" x14ac:dyDescent="0.35">
      <c r="A452" t="s">
        <v>688</v>
      </c>
      <c r="B452" t="s">
        <v>504</v>
      </c>
      <c r="C452" t="s">
        <v>40</v>
      </c>
      <c r="D452">
        <v>42.680329999999998</v>
      </c>
      <c r="E452">
        <v>-73.784109999999998</v>
      </c>
      <c r="F452" t="s">
        <v>22</v>
      </c>
      <c r="G452">
        <v>91</v>
      </c>
      <c r="H452">
        <v>1</v>
      </c>
      <c r="I452">
        <v>0</v>
      </c>
      <c r="K452">
        <v>0</v>
      </c>
      <c r="L452">
        <v>29</v>
      </c>
      <c r="M452">
        <v>358</v>
      </c>
      <c r="N452">
        <v>0</v>
      </c>
      <c r="O452" t="str">
        <f t="shared" si="7"/>
        <v>0-100</v>
      </c>
    </row>
    <row r="453" spans="1:15" x14ac:dyDescent="0.35">
      <c r="A453" t="s">
        <v>689</v>
      </c>
      <c r="B453" t="s">
        <v>605</v>
      </c>
      <c r="C453" t="s">
        <v>34</v>
      </c>
      <c r="D453">
        <v>42.658830000000002</v>
      </c>
      <c r="E453">
        <v>-73.80162</v>
      </c>
      <c r="F453" t="s">
        <v>22</v>
      </c>
      <c r="G453">
        <v>200</v>
      </c>
      <c r="H453">
        <v>1</v>
      </c>
      <c r="I453">
        <v>0</v>
      </c>
      <c r="K453">
        <v>0</v>
      </c>
      <c r="L453">
        <v>2</v>
      </c>
      <c r="M453">
        <v>361</v>
      </c>
      <c r="N453">
        <v>0</v>
      </c>
      <c r="O453" t="str">
        <f t="shared" si="7"/>
        <v>101-200</v>
      </c>
    </row>
    <row r="454" spans="1:15" x14ac:dyDescent="0.35">
      <c r="A454" t="s">
        <v>690</v>
      </c>
      <c r="B454" t="s">
        <v>524</v>
      </c>
      <c r="C454" t="s">
        <v>25</v>
      </c>
      <c r="D454">
        <v>42.652929999999998</v>
      </c>
      <c r="E454">
        <v>-73.766739999999999</v>
      </c>
      <c r="F454" t="s">
        <v>22</v>
      </c>
      <c r="G454">
        <v>206</v>
      </c>
      <c r="H454">
        <v>1</v>
      </c>
      <c r="I454">
        <v>4</v>
      </c>
      <c r="J454" s="1">
        <v>46181</v>
      </c>
      <c r="K454">
        <v>3.64</v>
      </c>
      <c r="L454">
        <v>2</v>
      </c>
      <c r="M454">
        <v>209</v>
      </c>
      <c r="N454">
        <v>4</v>
      </c>
      <c r="O454" t="str">
        <f t="shared" si="7"/>
        <v>201-300</v>
      </c>
    </row>
    <row r="455" spans="1:15" x14ac:dyDescent="0.35">
      <c r="A455" t="s">
        <v>691</v>
      </c>
      <c r="B455" t="s">
        <v>281</v>
      </c>
      <c r="C455" t="s">
        <v>47</v>
      </c>
      <c r="D455">
        <v>42.660960000000003</v>
      </c>
      <c r="E455">
        <v>-73.775850000000005</v>
      </c>
      <c r="F455" t="s">
        <v>22</v>
      </c>
      <c r="G455">
        <v>149</v>
      </c>
      <c r="H455">
        <v>1</v>
      </c>
      <c r="I455">
        <v>0</v>
      </c>
      <c r="K455">
        <v>0</v>
      </c>
      <c r="L455">
        <v>2</v>
      </c>
      <c r="M455">
        <v>193</v>
      </c>
      <c r="N455">
        <v>0</v>
      </c>
      <c r="O455" t="str">
        <f t="shared" si="7"/>
        <v>101-200</v>
      </c>
    </row>
    <row r="456" spans="1:15" x14ac:dyDescent="0.35">
      <c r="A456" t="s">
        <v>692</v>
      </c>
      <c r="B456" t="s">
        <v>136</v>
      </c>
      <c r="C456" t="s">
        <v>25</v>
      </c>
      <c r="D456">
        <v>42.6512308</v>
      </c>
      <c r="E456">
        <v>-73.762446299999993</v>
      </c>
      <c r="F456" t="s">
        <v>22</v>
      </c>
      <c r="G456">
        <v>213</v>
      </c>
      <c r="H456">
        <v>1</v>
      </c>
      <c r="I456">
        <v>0</v>
      </c>
      <c r="K456">
        <v>0</v>
      </c>
      <c r="L456">
        <v>1</v>
      </c>
      <c r="M456">
        <v>319</v>
      </c>
      <c r="N456">
        <v>0</v>
      </c>
      <c r="O456" t="str">
        <f t="shared" si="7"/>
        <v>201-300</v>
      </c>
    </row>
    <row r="457" spans="1:15" x14ac:dyDescent="0.35">
      <c r="A457" t="s">
        <v>693</v>
      </c>
      <c r="B457" t="s">
        <v>399</v>
      </c>
      <c r="C457" t="s">
        <v>25</v>
      </c>
      <c r="D457">
        <v>42.653849800000003</v>
      </c>
      <c r="E457">
        <v>-73.77216</v>
      </c>
      <c r="F457" t="s">
        <v>31</v>
      </c>
      <c r="G457">
        <v>115</v>
      </c>
      <c r="H457">
        <v>2</v>
      </c>
      <c r="I457">
        <v>0</v>
      </c>
      <c r="K457">
        <v>0</v>
      </c>
      <c r="L457">
        <v>6</v>
      </c>
      <c r="M457">
        <v>359</v>
      </c>
      <c r="N457">
        <v>0</v>
      </c>
      <c r="O457" t="str">
        <f t="shared" si="7"/>
        <v>101-200</v>
      </c>
    </row>
    <row r="458" spans="1:15" x14ac:dyDescent="0.35">
      <c r="A458" t="s">
        <v>694</v>
      </c>
      <c r="B458" t="s">
        <v>399</v>
      </c>
      <c r="C458" t="s">
        <v>25</v>
      </c>
      <c r="D458">
        <v>42.653849800000003</v>
      </c>
      <c r="E458">
        <v>-73.77216</v>
      </c>
      <c r="F458" t="s">
        <v>31</v>
      </c>
      <c r="G458">
        <v>86</v>
      </c>
      <c r="H458">
        <v>2</v>
      </c>
      <c r="I458">
        <v>0</v>
      </c>
      <c r="K458">
        <v>0</v>
      </c>
      <c r="L458">
        <v>6</v>
      </c>
      <c r="M458">
        <v>362</v>
      </c>
      <c r="N458">
        <v>0</v>
      </c>
      <c r="O458" t="str">
        <f t="shared" si="7"/>
        <v>0-100</v>
      </c>
    </row>
    <row r="459" spans="1:15" x14ac:dyDescent="0.35">
      <c r="A459" t="s">
        <v>695</v>
      </c>
      <c r="B459" t="s">
        <v>426</v>
      </c>
      <c r="C459" t="s">
        <v>21</v>
      </c>
      <c r="D459">
        <v>42.663146039006499</v>
      </c>
      <c r="E459">
        <v>-73.768458249441807</v>
      </c>
      <c r="F459" t="s">
        <v>31</v>
      </c>
      <c r="G459">
        <v>45</v>
      </c>
      <c r="H459">
        <v>28</v>
      </c>
      <c r="I459">
        <v>0</v>
      </c>
      <c r="K459">
        <v>0</v>
      </c>
      <c r="L459">
        <v>8</v>
      </c>
      <c r="M459">
        <v>365</v>
      </c>
      <c r="N459">
        <v>0</v>
      </c>
      <c r="O459" t="str">
        <f t="shared" si="7"/>
        <v>0-100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CF8F7-6E1B-4C22-B75C-0B65F207E8B2}">
  <dimension ref="A1:C58"/>
  <sheetViews>
    <sheetView workbookViewId="0">
      <selection activeCell="D8" sqref="D8"/>
    </sheetView>
  </sheetViews>
  <sheetFormatPr defaultRowHeight="14.5" x14ac:dyDescent="0.35"/>
  <cols>
    <col min="1" max="1" width="42.6640625" style="26" customWidth="1"/>
    <col min="2" max="2" width="16.25" style="26" customWidth="1"/>
    <col min="3" max="16384" width="8.6640625" style="26"/>
  </cols>
  <sheetData>
    <row r="1" spans="1:2" ht="21" x14ac:dyDescent="0.5">
      <c r="A1" s="25" t="s">
        <v>696</v>
      </c>
    </row>
    <row r="3" spans="1:2" x14ac:dyDescent="0.35">
      <c r="A3" s="26" t="s">
        <v>697</v>
      </c>
      <c r="B3" s="26" t="s">
        <v>704</v>
      </c>
    </row>
    <row r="4" spans="1:2" x14ac:dyDescent="0.35">
      <c r="A4" s="26" t="s">
        <v>698</v>
      </c>
      <c r="B4" s="26">
        <f>ROWS(airbnb_data[])</f>
        <v>458</v>
      </c>
    </row>
    <row r="5" spans="1:2" x14ac:dyDescent="0.35">
      <c r="A5" s="26" t="s">
        <v>699</v>
      </c>
      <c r="B5" s="26">
        <f>COLUMNS(airbnb_data[])</f>
        <v>15</v>
      </c>
    </row>
    <row r="6" spans="1:2" x14ac:dyDescent="0.35">
      <c r="A6" s="26" t="s">
        <v>700</v>
      </c>
      <c r="B6" s="26" t="s">
        <v>703</v>
      </c>
    </row>
    <row r="7" spans="1:2" x14ac:dyDescent="0.35">
      <c r="A7" s="26" t="s">
        <v>701</v>
      </c>
      <c r="B7" s="26" t="s">
        <v>702</v>
      </c>
    </row>
    <row r="10" spans="1:2" ht="21" x14ac:dyDescent="0.5">
      <c r="A10" s="25" t="s">
        <v>705</v>
      </c>
    </row>
    <row r="11" spans="1:2" x14ac:dyDescent="0.35">
      <c r="A11" s="27" t="s">
        <v>707</v>
      </c>
      <c r="B11" s="27" t="s">
        <v>708</v>
      </c>
    </row>
    <row r="12" spans="1:2" x14ac:dyDescent="0.35">
      <c r="A12" s="26" t="s">
        <v>1</v>
      </c>
      <c r="B12" s="26" t="s">
        <v>709</v>
      </c>
    </row>
    <row r="13" spans="1:2" x14ac:dyDescent="0.35">
      <c r="A13" s="26" t="s">
        <v>4</v>
      </c>
      <c r="B13" s="26" t="s">
        <v>709</v>
      </c>
    </row>
    <row r="14" spans="1:2" x14ac:dyDescent="0.35">
      <c r="A14" s="26" t="s">
        <v>6</v>
      </c>
      <c r="B14" s="26" t="s">
        <v>709</v>
      </c>
    </row>
    <row r="15" spans="1:2" x14ac:dyDescent="0.35">
      <c r="A15" s="26" t="s">
        <v>7</v>
      </c>
      <c r="B15" s="26" t="s">
        <v>710</v>
      </c>
    </row>
    <row r="16" spans="1:2" x14ac:dyDescent="0.35">
      <c r="A16" s="26" t="s">
        <v>8</v>
      </c>
      <c r="B16" s="26" t="s">
        <v>710</v>
      </c>
    </row>
    <row r="17" spans="1:2" x14ac:dyDescent="0.35">
      <c r="A17" s="26" t="s">
        <v>9</v>
      </c>
      <c r="B17" s="26" t="s">
        <v>709</v>
      </c>
    </row>
    <row r="18" spans="1:2" x14ac:dyDescent="0.35">
      <c r="A18" s="26" t="s">
        <v>10</v>
      </c>
      <c r="B18" s="26" t="s">
        <v>711</v>
      </c>
    </row>
    <row r="19" spans="1:2" x14ac:dyDescent="0.35">
      <c r="A19" s="26" t="s">
        <v>11</v>
      </c>
      <c r="B19" s="26" t="s">
        <v>711</v>
      </c>
    </row>
    <row r="20" spans="1:2" x14ac:dyDescent="0.35">
      <c r="A20" s="26" t="s">
        <v>706</v>
      </c>
      <c r="B20" s="26" t="s">
        <v>711</v>
      </c>
    </row>
    <row r="21" spans="1:2" x14ac:dyDescent="0.35">
      <c r="A21" s="26" t="s">
        <v>13</v>
      </c>
      <c r="B21" s="26" t="s">
        <v>712</v>
      </c>
    </row>
    <row r="22" spans="1:2" x14ac:dyDescent="0.35">
      <c r="A22" s="26" t="s">
        <v>14</v>
      </c>
      <c r="B22" s="26" t="s">
        <v>710</v>
      </c>
    </row>
    <row r="23" spans="1:2" x14ac:dyDescent="0.35">
      <c r="A23" s="26" t="s">
        <v>15</v>
      </c>
      <c r="B23" s="26" t="s">
        <v>711</v>
      </c>
    </row>
    <row r="24" spans="1:2" x14ac:dyDescent="0.35">
      <c r="A24" s="26" t="s">
        <v>16</v>
      </c>
      <c r="B24" s="26" t="s">
        <v>711</v>
      </c>
    </row>
    <row r="25" spans="1:2" x14ac:dyDescent="0.35">
      <c r="A25" s="26" t="s">
        <v>17</v>
      </c>
      <c r="B25" s="26" t="s">
        <v>711</v>
      </c>
    </row>
    <row r="28" spans="1:2" ht="21" x14ac:dyDescent="0.5">
      <c r="A28" s="25" t="s">
        <v>713</v>
      </c>
    </row>
    <row r="30" spans="1:2" x14ac:dyDescent="0.35">
      <c r="A30" s="27" t="s">
        <v>714</v>
      </c>
      <c r="B30" s="27" t="s">
        <v>715</v>
      </c>
    </row>
    <row r="31" spans="1:2" x14ac:dyDescent="0.35">
      <c r="A31" s="26" t="s">
        <v>716</v>
      </c>
      <c r="B31" s="26">
        <f>MIN(airbnb_data[price])</f>
        <v>13</v>
      </c>
    </row>
    <row r="32" spans="1:2" x14ac:dyDescent="0.35">
      <c r="A32" s="26" t="s">
        <v>717</v>
      </c>
      <c r="B32" s="26">
        <f>MAX(airbnb_data[price])</f>
        <v>1701</v>
      </c>
    </row>
    <row r="33" spans="1:3" x14ac:dyDescent="0.35">
      <c r="A33" s="26" t="s">
        <v>718</v>
      </c>
      <c r="B33" s="26">
        <f>AVERAGE(airbnb_data[price])</f>
        <v>177.1768558951965</v>
      </c>
    </row>
    <row r="34" spans="1:3" x14ac:dyDescent="0.35">
      <c r="A34" s="26" t="s">
        <v>724</v>
      </c>
      <c r="B34" s="26">
        <f>_xlfn.VAR.S(airbnb_data[price])</f>
        <v>24766.259681996697</v>
      </c>
    </row>
    <row r="35" spans="1:3" x14ac:dyDescent="0.35">
      <c r="A35" s="26" t="s">
        <v>723</v>
      </c>
      <c r="B35" s="26">
        <f>_xlfn.STDEV.S(airbnb_data[price])</f>
        <v>157.37299540263157</v>
      </c>
    </row>
    <row r="36" spans="1:3" x14ac:dyDescent="0.35">
      <c r="A36" s="26" t="s">
        <v>719</v>
      </c>
      <c r="B36" s="26">
        <f>MEDIAN(airbnb_data[price])</f>
        <v>145.5</v>
      </c>
    </row>
    <row r="37" spans="1:3" x14ac:dyDescent="0.35">
      <c r="A37" s="26" t="s">
        <v>720</v>
      </c>
      <c r="B37" s="26">
        <f>AVERAGE(airbnb_data[number_of_reviews])</f>
        <v>61.080786026200876</v>
      </c>
    </row>
    <row r="38" spans="1:3" x14ac:dyDescent="0.35">
      <c r="A38" s="26" t="s">
        <v>721</v>
      </c>
      <c r="B38" s="26">
        <f>AVERAGE(airbnb_data[availability_365])</f>
        <v>252.94323144104803</v>
      </c>
    </row>
    <row r="39" spans="1:3" x14ac:dyDescent="0.35">
      <c r="A39" s="26" t="s">
        <v>722</v>
      </c>
    </row>
    <row r="41" spans="1:3" x14ac:dyDescent="0.35">
      <c r="A41" s="28"/>
      <c r="B41" s="28"/>
      <c r="C41" s="28"/>
    </row>
    <row r="42" spans="1:3" x14ac:dyDescent="0.35">
      <c r="A42" s="29"/>
      <c r="B42" s="29"/>
      <c r="C42" s="29"/>
    </row>
    <row r="43" spans="1:3" ht="21" x14ac:dyDescent="0.35">
      <c r="A43" s="30" t="s">
        <v>725</v>
      </c>
      <c r="B43" s="29"/>
      <c r="C43" s="29"/>
    </row>
    <row r="44" spans="1:3" x14ac:dyDescent="0.35">
      <c r="A44" s="29"/>
      <c r="B44" s="29"/>
      <c r="C44" s="29"/>
    </row>
    <row r="45" spans="1:3" x14ac:dyDescent="0.35">
      <c r="A45" s="31" t="s">
        <v>726</v>
      </c>
      <c r="B45" s="31" t="s">
        <v>715</v>
      </c>
      <c r="C45" s="29"/>
    </row>
    <row r="46" spans="1:3" x14ac:dyDescent="0.35">
      <c r="A46" s="26" t="s">
        <v>727</v>
      </c>
      <c r="B46" s="26">
        <f>_xlfn.QUARTILE.INC(airbnb_data[price],1)</f>
        <v>90</v>
      </c>
    </row>
    <row r="47" spans="1:3" x14ac:dyDescent="0.35">
      <c r="A47" s="29" t="s">
        <v>728</v>
      </c>
      <c r="B47" s="26">
        <f>MEDIAN(airbnb_data[price])</f>
        <v>145.5</v>
      </c>
    </row>
    <row r="48" spans="1:3" x14ac:dyDescent="0.35">
      <c r="A48" s="29" t="s">
        <v>729</v>
      </c>
      <c r="B48" s="26">
        <f>_xlfn.QUARTILE.INC(airbnb_data[price],3)</f>
        <v>209.75</v>
      </c>
    </row>
    <row r="49" spans="1:2" x14ac:dyDescent="0.35">
      <c r="A49" s="29" t="s">
        <v>730</v>
      </c>
      <c r="B49" s="26">
        <f>_xlfn.QUARTILE.INC(airbnb_data[price],3)-_xlfn.QUARTILE.INC(airbnb_data[price],1)</f>
        <v>119.75</v>
      </c>
    </row>
    <row r="50" spans="1:2" x14ac:dyDescent="0.35">
      <c r="A50" s="29"/>
    </row>
    <row r="51" spans="1:2" x14ac:dyDescent="0.35">
      <c r="A51" s="29"/>
    </row>
    <row r="52" spans="1:2" ht="21" x14ac:dyDescent="0.5">
      <c r="A52" s="25" t="s">
        <v>731</v>
      </c>
    </row>
    <row r="54" spans="1:2" x14ac:dyDescent="0.35">
      <c r="A54" s="26" t="s">
        <v>732</v>
      </c>
    </row>
    <row r="55" spans="1:2" x14ac:dyDescent="0.35">
      <c r="A55" s="26" t="s">
        <v>733</v>
      </c>
    </row>
    <row r="56" spans="1:2" x14ac:dyDescent="0.35">
      <c r="A56" s="26" t="s">
        <v>734</v>
      </c>
    </row>
    <row r="57" spans="1:2" x14ac:dyDescent="0.35">
      <c r="A57" s="26" t="s">
        <v>735</v>
      </c>
    </row>
    <row r="58" spans="1:2" x14ac:dyDescent="0.35">
      <c r="A58" s="26" t="s">
        <v>736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46841-FA89-4BCE-9699-8891C84F043F}">
  <dimension ref="A1:P32"/>
  <sheetViews>
    <sheetView topLeftCell="A25" zoomScale="94" workbookViewId="0">
      <selection activeCell="D5" sqref="D5"/>
    </sheetView>
  </sheetViews>
  <sheetFormatPr defaultRowHeight="14.5" x14ac:dyDescent="0.35"/>
  <cols>
    <col min="1" max="1" width="13.25" style="9" bestFit="1" customWidth="1"/>
    <col min="2" max="2" width="16.25" style="9" bestFit="1" customWidth="1"/>
    <col min="3" max="16384" width="8.6640625" style="9"/>
  </cols>
  <sheetData>
    <row r="1" spans="1:16" x14ac:dyDescent="0.35">
      <c r="A1" s="9" t="s">
        <v>737</v>
      </c>
      <c r="B1" s="9" t="s">
        <v>739</v>
      </c>
    </row>
    <row r="2" spans="1:16" x14ac:dyDescent="0.35">
      <c r="A2" s="10" t="s">
        <v>22</v>
      </c>
      <c r="B2" s="11">
        <v>322</v>
      </c>
    </row>
    <row r="3" spans="1:16" ht="18.5" x14ac:dyDescent="0.45">
      <c r="A3" s="10" t="s">
        <v>537</v>
      </c>
      <c r="B3" s="11">
        <v>8</v>
      </c>
      <c r="D3" s="12"/>
      <c r="E3" s="13" t="s">
        <v>740</v>
      </c>
      <c r="F3" s="13"/>
      <c r="G3" s="14"/>
      <c r="H3" s="15"/>
      <c r="I3" s="15"/>
      <c r="J3" s="16"/>
      <c r="K3" s="17"/>
      <c r="L3" s="17"/>
      <c r="M3" s="17"/>
      <c r="N3" s="17"/>
      <c r="O3" s="15"/>
      <c r="P3" s="15"/>
    </row>
    <row r="4" spans="1:16" ht="18.5" x14ac:dyDescent="0.45">
      <c r="A4" s="10" t="s">
        <v>31</v>
      </c>
      <c r="B4" s="11">
        <v>127</v>
      </c>
      <c r="E4" s="18"/>
      <c r="F4" s="18"/>
      <c r="G4" s="18"/>
      <c r="H4" s="15"/>
      <c r="I4" s="18"/>
      <c r="J4" s="18"/>
    </row>
    <row r="5" spans="1:16" x14ac:dyDescent="0.35">
      <c r="A5" s="10" t="s">
        <v>244</v>
      </c>
      <c r="B5" s="11">
        <v>1</v>
      </c>
    </row>
    <row r="6" spans="1:16" x14ac:dyDescent="0.35">
      <c r="A6" s="10" t="s">
        <v>738</v>
      </c>
      <c r="B6" s="11">
        <v>458</v>
      </c>
    </row>
    <row r="9" spans="1:16" ht="21" x14ac:dyDescent="0.5">
      <c r="A9" s="19"/>
    </row>
    <row r="26" spans="1:4" x14ac:dyDescent="0.35">
      <c r="A26" s="9" t="s">
        <v>737</v>
      </c>
      <c r="B26" s="9" t="s">
        <v>749</v>
      </c>
    </row>
    <row r="27" spans="1:4" x14ac:dyDescent="0.35">
      <c r="A27" s="10" t="s">
        <v>744</v>
      </c>
      <c r="B27" s="11">
        <v>148</v>
      </c>
      <c r="D27" s="11"/>
    </row>
    <row r="28" spans="1:4" x14ac:dyDescent="0.35">
      <c r="A28" s="10" t="s">
        <v>745</v>
      </c>
      <c r="B28" s="11">
        <v>185</v>
      </c>
      <c r="D28" s="11"/>
    </row>
    <row r="29" spans="1:4" x14ac:dyDescent="0.35">
      <c r="A29" s="10" t="s">
        <v>746</v>
      </c>
      <c r="B29" s="11">
        <v>79</v>
      </c>
      <c r="D29" s="11"/>
    </row>
    <row r="30" spans="1:4" x14ac:dyDescent="0.35">
      <c r="A30" s="10" t="s">
        <v>747</v>
      </c>
      <c r="B30" s="11">
        <v>33</v>
      </c>
      <c r="D30" s="11"/>
    </row>
    <row r="31" spans="1:4" x14ac:dyDescent="0.35">
      <c r="A31" s="10" t="s">
        <v>748</v>
      </c>
      <c r="B31" s="11">
        <v>13</v>
      </c>
      <c r="D31" s="11"/>
    </row>
    <row r="32" spans="1:4" x14ac:dyDescent="0.35">
      <c r="A32" s="10" t="s">
        <v>738</v>
      </c>
      <c r="B32" s="11">
        <v>458</v>
      </c>
      <c r="D32" s="11"/>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2C1A5-1CD1-4AF7-97FF-D75CB19B315D}">
  <dimension ref="A1:H36"/>
  <sheetViews>
    <sheetView topLeftCell="A25" zoomScale="95" workbookViewId="0">
      <selection activeCell="A15" sqref="A15"/>
    </sheetView>
  </sheetViews>
  <sheetFormatPr defaultRowHeight="14.5" x14ac:dyDescent="0.35"/>
  <cols>
    <col min="1" max="1" width="17.75" bestFit="1" customWidth="1"/>
    <col min="2" max="2" width="13.75" bestFit="1" customWidth="1"/>
  </cols>
  <sheetData>
    <row r="1" spans="1:8" x14ac:dyDescent="0.35">
      <c r="A1" s="4" t="s">
        <v>737</v>
      </c>
      <c r="B1" t="s">
        <v>741</v>
      </c>
    </row>
    <row r="2" spans="1:8" x14ac:dyDescent="0.35">
      <c r="A2" s="5" t="s">
        <v>22</v>
      </c>
      <c r="B2" s="8">
        <v>208.53726708074535</v>
      </c>
    </row>
    <row r="3" spans="1:8" x14ac:dyDescent="0.35">
      <c r="A3" s="5" t="s">
        <v>537</v>
      </c>
      <c r="B3" s="6">
        <v>217</v>
      </c>
    </row>
    <row r="4" spans="1:8" ht="21" x14ac:dyDescent="0.5">
      <c r="A4" s="5" t="s">
        <v>31</v>
      </c>
      <c r="B4" s="8">
        <v>89.937007874015748</v>
      </c>
      <c r="H4" s="7" t="s">
        <v>742</v>
      </c>
    </row>
    <row r="5" spans="1:8" x14ac:dyDescent="0.35">
      <c r="A5" s="5" t="s">
        <v>244</v>
      </c>
      <c r="B5" s="6">
        <v>840</v>
      </c>
    </row>
    <row r="6" spans="1:8" x14ac:dyDescent="0.35">
      <c r="A6" s="5" t="s">
        <v>738</v>
      </c>
      <c r="B6" s="6">
        <v>177.1768558951965</v>
      </c>
    </row>
    <row r="9" spans="1:8" ht="21" x14ac:dyDescent="0.5">
      <c r="A9" s="3"/>
    </row>
    <row r="25" spans="1:2" x14ac:dyDescent="0.35">
      <c r="A25" s="4" t="s">
        <v>737</v>
      </c>
      <c r="B25" t="s">
        <v>741</v>
      </c>
    </row>
    <row r="26" spans="1:2" x14ac:dyDescent="0.35">
      <c r="A26" s="5" t="s">
        <v>37</v>
      </c>
      <c r="B26" s="8">
        <v>346.35714285714283</v>
      </c>
    </row>
    <row r="27" spans="1:2" x14ac:dyDescent="0.35">
      <c r="A27" s="5" t="s">
        <v>84</v>
      </c>
      <c r="B27" s="8">
        <v>252.72727272727272</v>
      </c>
    </row>
    <row r="28" spans="1:2" x14ac:dyDescent="0.35">
      <c r="A28" s="5" t="s">
        <v>64</v>
      </c>
      <c r="B28" s="8">
        <v>233.42857142857142</v>
      </c>
    </row>
    <row r="29" spans="1:2" x14ac:dyDescent="0.35">
      <c r="A29" s="5" t="s">
        <v>117</v>
      </c>
      <c r="B29" s="8">
        <v>228.7</v>
      </c>
    </row>
    <row r="30" spans="1:2" x14ac:dyDescent="0.35">
      <c r="A30" s="5" t="s">
        <v>28</v>
      </c>
      <c r="B30" s="6">
        <v>223.65</v>
      </c>
    </row>
    <row r="31" spans="1:2" x14ac:dyDescent="0.35">
      <c r="A31" s="5" t="s">
        <v>91</v>
      </c>
      <c r="B31" s="8">
        <v>207.5</v>
      </c>
    </row>
    <row r="32" spans="1:2" x14ac:dyDescent="0.35">
      <c r="A32" s="5" t="s">
        <v>34</v>
      </c>
      <c r="B32" s="8">
        <v>195.03225806451613</v>
      </c>
    </row>
    <row r="33" spans="1:2" x14ac:dyDescent="0.35">
      <c r="A33" s="5" t="s">
        <v>68</v>
      </c>
      <c r="B33" s="8">
        <v>183.02564102564102</v>
      </c>
    </row>
    <row r="34" spans="1:2" x14ac:dyDescent="0.35">
      <c r="A34" s="5" t="s">
        <v>270</v>
      </c>
      <c r="B34" s="8">
        <v>177.5</v>
      </c>
    </row>
    <row r="35" spans="1:2" x14ac:dyDescent="0.35">
      <c r="A35" s="5" t="s">
        <v>25</v>
      </c>
      <c r="B35" s="8">
        <v>164.56880733944953</v>
      </c>
    </row>
    <row r="36" spans="1:2" x14ac:dyDescent="0.35">
      <c r="A36" s="5" t="s">
        <v>738</v>
      </c>
      <c r="B36" s="6">
        <v>198.98591549295776</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90C2F-7994-4038-B430-BBDE675FC678}">
  <dimension ref="A3:E19"/>
  <sheetViews>
    <sheetView workbookViewId="0">
      <selection activeCell="E21" sqref="A2:E21"/>
    </sheetView>
  </sheetViews>
  <sheetFormatPr defaultRowHeight="14.5" x14ac:dyDescent="0.35"/>
  <cols>
    <col min="1" max="1" width="17.4140625" bestFit="1" customWidth="1"/>
    <col min="2" max="2" width="14.5" bestFit="1" customWidth="1"/>
    <col min="3" max="3" width="9.75" bestFit="1" customWidth="1"/>
    <col min="4" max="5" width="11" bestFit="1" customWidth="1"/>
    <col min="6" max="6" width="10.1640625" bestFit="1" customWidth="1"/>
  </cols>
  <sheetData>
    <row r="3" spans="1:5" x14ac:dyDescent="0.35">
      <c r="A3" s="4" t="s">
        <v>750</v>
      </c>
      <c r="B3" s="4" t="s">
        <v>751</v>
      </c>
    </row>
    <row r="4" spans="1:5" x14ac:dyDescent="0.35">
      <c r="A4" s="4" t="s">
        <v>737</v>
      </c>
      <c r="B4" t="s">
        <v>22</v>
      </c>
      <c r="C4" t="s">
        <v>537</v>
      </c>
      <c r="D4" t="s">
        <v>31</v>
      </c>
      <c r="E4" t="s">
        <v>244</v>
      </c>
    </row>
    <row r="5" spans="1:5" x14ac:dyDescent="0.35">
      <c r="A5" s="5" t="s">
        <v>84</v>
      </c>
      <c r="B5" s="6">
        <v>2705</v>
      </c>
      <c r="C5" s="6"/>
      <c r="D5" s="6">
        <v>75</v>
      </c>
      <c r="E5" s="6"/>
    </row>
    <row r="6" spans="1:5" x14ac:dyDescent="0.35">
      <c r="A6" s="5" t="s">
        <v>40</v>
      </c>
      <c r="B6" s="6">
        <v>2247</v>
      </c>
      <c r="C6" s="6"/>
      <c r="D6" s="6">
        <v>431</v>
      </c>
      <c r="E6" s="6"/>
    </row>
    <row r="7" spans="1:5" x14ac:dyDescent="0.35">
      <c r="A7" s="5" t="s">
        <v>37</v>
      </c>
      <c r="B7" s="6">
        <v>4753</v>
      </c>
      <c r="C7" s="6"/>
      <c r="D7" s="6">
        <v>96</v>
      </c>
      <c r="E7" s="6"/>
    </row>
    <row r="8" spans="1:5" x14ac:dyDescent="0.35">
      <c r="A8" s="5" t="s">
        <v>54</v>
      </c>
      <c r="B8" s="6">
        <v>1205</v>
      </c>
      <c r="C8" s="6"/>
      <c r="D8" s="6">
        <v>168</v>
      </c>
      <c r="E8" s="6"/>
    </row>
    <row r="9" spans="1:5" x14ac:dyDescent="0.35">
      <c r="A9" s="5" t="s">
        <v>117</v>
      </c>
      <c r="B9" s="6">
        <v>2287</v>
      </c>
      <c r="C9" s="6"/>
      <c r="D9" s="6"/>
      <c r="E9" s="6"/>
    </row>
    <row r="10" spans="1:5" x14ac:dyDescent="0.35">
      <c r="A10" s="5" t="s">
        <v>34</v>
      </c>
      <c r="B10" s="6">
        <v>5286</v>
      </c>
      <c r="C10" s="6"/>
      <c r="D10" s="6">
        <v>760</v>
      </c>
      <c r="E10" s="6"/>
    </row>
    <row r="11" spans="1:5" x14ac:dyDescent="0.35">
      <c r="A11" s="5" t="s">
        <v>91</v>
      </c>
      <c r="B11" s="6">
        <v>2507</v>
      </c>
      <c r="C11" s="6"/>
      <c r="D11" s="6">
        <v>398</v>
      </c>
      <c r="E11" s="6"/>
    </row>
    <row r="12" spans="1:5" x14ac:dyDescent="0.35">
      <c r="A12" s="5" t="s">
        <v>51</v>
      </c>
      <c r="B12" s="6">
        <v>3683</v>
      </c>
      <c r="C12" s="6"/>
      <c r="D12" s="6">
        <v>1960</v>
      </c>
      <c r="E12" s="6">
        <v>840</v>
      </c>
    </row>
    <row r="13" spans="1:5" x14ac:dyDescent="0.35">
      <c r="A13" s="5" t="s">
        <v>28</v>
      </c>
      <c r="B13" s="6">
        <v>8579</v>
      </c>
      <c r="C13" s="6"/>
      <c r="D13" s="6">
        <v>367</v>
      </c>
      <c r="E13" s="6"/>
    </row>
    <row r="14" spans="1:5" x14ac:dyDescent="0.35">
      <c r="A14" s="5" t="s">
        <v>64</v>
      </c>
      <c r="B14" s="6">
        <v>3073</v>
      </c>
      <c r="C14" s="6"/>
      <c r="D14" s="6">
        <v>195</v>
      </c>
      <c r="E14" s="6"/>
    </row>
    <row r="15" spans="1:5" x14ac:dyDescent="0.35">
      <c r="A15" s="5" t="s">
        <v>25</v>
      </c>
      <c r="B15" s="6">
        <v>15498</v>
      </c>
      <c r="C15" s="6"/>
      <c r="D15" s="6">
        <v>2440</v>
      </c>
      <c r="E15" s="6"/>
    </row>
    <row r="16" spans="1:5" x14ac:dyDescent="0.35">
      <c r="A16" s="5" t="s">
        <v>47</v>
      </c>
      <c r="B16" s="6">
        <v>5012</v>
      </c>
      <c r="C16" s="6"/>
      <c r="D16" s="6">
        <v>2640</v>
      </c>
      <c r="E16" s="6"/>
    </row>
    <row r="17" spans="1:5" x14ac:dyDescent="0.35">
      <c r="A17" s="5" t="s">
        <v>21</v>
      </c>
      <c r="B17" s="6">
        <v>4439</v>
      </c>
      <c r="C17" s="6">
        <v>1736</v>
      </c>
      <c r="D17" s="6">
        <v>274</v>
      </c>
      <c r="E17" s="6"/>
    </row>
    <row r="18" spans="1:5" x14ac:dyDescent="0.35">
      <c r="A18" s="5" t="s">
        <v>68</v>
      </c>
      <c r="B18" s="6">
        <v>5520</v>
      </c>
      <c r="C18" s="6"/>
      <c r="D18" s="6">
        <v>1618</v>
      </c>
      <c r="E18" s="6"/>
    </row>
    <row r="19" spans="1:5" x14ac:dyDescent="0.35">
      <c r="A19" s="5" t="s">
        <v>270</v>
      </c>
      <c r="B19" s="6">
        <v>355</v>
      </c>
      <c r="C19" s="6"/>
      <c r="D19" s="6"/>
      <c r="E19" s="6"/>
    </row>
  </sheetData>
  <conditionalFormatting pivot="1" sqref="B5:E19">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79513-071A-4A77-80AA-C290D350AACE}">
  <dimension ref="A1:S459"/>
  <sheetViews>
    <sheetView workbookViewId="0">
      <selection activeCell="Q15" sqref="Q15"/>
    </sheetView>
  </sheetViews>
  <sheetFormatPr defaultRowHeight="14.5" x14ac:dyDescent="0.35"/>
  <cols>
    <col min="10" max="10" width="12.9140625" customWidth="1"/>
    <col min="13" max="13" width="13.75" customWidth="1"/>
    <col min="14" max="14" width="20.25" customWidth="1"/>
    <col min="16" max="16" width="16.9140625" customWidth="1"/>
    <col min="17" max="17" width="16.75" customWidth="1"/>
    <col min="18" max="18" width="15.1640625" customWidth="1"/>
    <col min="19" max="19" width="22.08203125" customWidth="1"/>
  </cols>
  <sheetData>
    <row r="1" spans="1:19" x14ac:dyDescent="0.35">
      <c r="A1" t="s">
        <v>1</v>
      </c>
      <c r="B1" t="s">
        <v>4</v>
      </c>
      <c r="C1" t="s">
        <v>6</v>
      </c>
      <c r="D1" t="s">
        <v>7</v>
      </c>
      <c r="E1" t="s">
        <v>8</v>
      </c>
      <c r="F1" t="s">
        <v>9</v>
      </c>
      <c r="G1" t="s">
        <v>10</v>
      </c>
      <c r="H1" t="s">
        <v>11</v>
      </c>
      <c r="I1" t="s">
        <v>12</v>
      </c>
      <c r="J1" t="s">
        <v>13</v>
      </c>
      <c r="K1" t="s">
        <v>14</v>
      </c>
      <c r="L1" t="s">
        <v>15</v>
      </c>
      <c r="M1" t="s">
        <v>16</v>
      </c>
      <c r="N1" t="s">
        <v>17</v>
      </c>
      <c r="O1" t="s">
        <v>743</v>
      </c>
      <c r="P1" t="s">
        <v>752</v>
      </c>
      <c r="Q1" t="s">
        <v>753</v>
      </c>
      <c r="R1" t="s">
        <v>754</v>
      </c>
      <c r="S1" t="s">
        <v>755</v>
      </c>
    </row>
    <row r="2" spans="1:19" x14ac:dyDescent="0.35">
      <c r="A2" t="s">
        <v>19</v>
      </c>
      <c r="B2" t="s">
        <v>20</v>
      </c>
      <c r="C2" t="s">
        <v>21</v>
      </c>
      <c r="D2">
        <v>42.657890000000002</v>
      </c>
      <c r="E2">
        <v>-73.753699999999995</v>
      </c>
      <c r="F2" t="s">
        <v>22</v>
      </c>
      <c r="G2">
        <v>80</v>
      </c>
      <c r="H2">
        <v>28</v>
      </c>
      <c r="I2">
        <v>9</v>
      </c>
      <c r="J2" s="1">
        <v>44790</v>
      </c>
      <c r="K2">
        <v>0.06</v>
      </c>
      <c r="L2">
        <v>1</v>
      </c>
      <c r="M2">
        <v>77</v>
      </c>
      <c r="N2">
        <v>0</v>
      </c>
      <c r="O2" t="str">
        <f t="shared" ref="O2:O65" si="0">IF(G2&lt;=100,"0-100",
IF(G2&lt;=200,"101-200",
IF(G2&lt;=300,"201-300",
IF(G2&lt;=500,"301-500","500+"))))</f>
        <v>0-100</v>
      </c>
      <c r="P2" t="str">
        <f>IF(airbnb_data3[[#This Row],[price]]&lt;=100,"Budget",
IF(airbnb_data3[[#This Row],[price]]&lt;=200,"Mid-range",
IF(airbnb_data3[[#This Row],[price]]&lt;=300,"Premium","Luxury")))</f>
        <v>Budget</v>
      </c>
      <c r="Q2" t="str">
        <f>IF(airbnb_data3[[#This Row],[availability_365]]&lt;=120,"Low Availability",IF(airbnb_data3[[#This Row],[availability_365]]&lt;=240,"Medium Availability","High Availability"))</f>
        <v>Low Availability</v>
      </c>
      <c r="R2" s="6" t="str">
        <f t="shared" ref="R2:R65" si="1">IF(R3&lt;=25,"Low",IF(I4&lt;=100,"Medium","High"))</f>
        <v>High</v>
      </c>
      <c r="S2" s="6" t="str">
        <f>IF(airbnb_data3[[#This Row],[minimum_nights]]&lt;=3,"Short Stay",IF(airbnb_data3[[#This Row],[minimum_nights]]&lt;=7,"Medium Stay","Long Stay"))</f>
        <v>Long Stay</v>
      </c>
    </row>
    <row r="3" spans="1:19" x14ac:dyDescent="0.35">
      <c r="A3" t="s">
        <v>23</v>
      </c>
      <c r="B3" t="s">
        <v>24</v>
      </c>
      <c r="C3" t="s">
        <v>25</v>
      </c>
      <c r="D3">
        <v>42.65222</v>
      </c>
      <c r="E3">
        <v>-73.767240000000001</v>
      </c>
      <c r="F3" t="s">
        <v>22</v>
      </c>
      <c r="G3">
        <v>211</v>
      </c>
      <c r="H3">
        <v>1</v>
      </c>
      <c r="I3">
        <v>317</v>
      </c>
      <c r="J3" s="1">
        <v>46047</v>
      </c>
      <c r="K3">
        <v>2.2000000000000002</v>
      </c>
      <c r="L3">
        <v>7</v>
      </c>
      <c r="M3">
        <v>328</v>
      </c>
      <c r="N3">
        <v>8</v>
      </c>
      <c r="O3" t="str">
        <f t="shared" si="0"/>
        <v>201-300</v>
      </c>
      <c r="P3" t="str">
        <f>IF(airbnb_data3[[#This Row],[price]]&lt;=100,"Budget",
IF(airbnb_data3[[#This Row],[price]]&lt;=200,"Mid-range",
IF(airbnb_data3[[#This Row],[price]]&lt;=300,"Premium","Luxury")))</f>
        <v>Premium</v>
      </c>
      <c r="Q3" t="str">
        <f>IF(airbnb_data3[[#This Row],[availability_365]]&lt;=120,"Low Availability",IF(airbnb_data3[[#This Row],[availability_365]]&lt;=240,"Medium Availability","High Availability"))</f>
        <v>High Availability</v>
      </c>
      <c r="R3" s="6" t="str">
        <f t="shared" si="1"/>
        <v>High</v>
      </c>
      <c r="S3" s="6" t="s">
        <v>756</v>
      </c>
    </row>
    <row r="4" spans="1:19" x14ac:dyDescent="0.35">
      <c r="A4" t="s">
        <v>26</v>
      </c>
      <c r="B4" t="s">
        <v>27</v>
      </c>
      <c r="C4" t="s">
        <v>28</v>
      </c>
      <c r="D4">
        <v>42.646149999999999</v>
      </c>
      <c r="E4">
        <v>-73.759659999999997</v>
      </c>
      <c r="F4" t="s">
        <v>22</v>
      </c>
      <c r="G4">
        <v>97</v>
      </c>
      <c r="H4">
        <v>1</v>
      </c>
      <c r="I4">
        <v>406</v>
      </c>
      <c r="J4" s="1">
        <v>46185</v>
      </c>
      <c r="K4">
        <v>3</v>
      </c>
      <c r="L4">
        <v>2</v>
      </c>
      <c r="M4">
        <v>25</v>
      </c>
      <c r="N4">
        <v>37</v>
      </c>
      <c r="O4" t="str">
        <f t="shared" si="0"/>
        <v>0-100</v>
      </c>
      <c r="P4" t="str">
        <f>IF(airbnb_data3[[#This Row],[price]]&lt;=100,"Budget",
IF(airbnb_data3[[#This Row],[price]]&lt;=200,"Mid-range",
IF(airbnb_data3[[#This Row],[price]]&lt;=300,"Premium","Luxury")))</f>
        <v>Budget</v>
      </c>
      <c r="Q4" t="str">
        <f>IF(airbnb_data3[[#This Row],[availability_365]]&lt;=120,"Low Availability",IF(airbnb_data3[[#This Row],[availability_365]]&lt;=240,"Medium Availability","High Availability"))</f>
        <v>Low Availability</v>
      </c>
      <c r="R4" s="6" t="str">
        <f t="shared" si="1"/>
        <v>High</v>
      </c>
      <c r="S4" s="6" t="str">
        <f>IF(airbnb_data3[[#This Row],[minimum_nights]]&lt;=3,"Short Stay",IF(airbnb_data3[[#This Row],[minimum_nights]]&lt;=7,"Medium Stay","Long Stay"))</f>
        <v>Short Stay</v>
      </c>
    </row>
    <row r="5" spans="1:19" x14ac:dyDescent="0.35">
      <c r="A5" t="s">
        <v>29</v>
      </c>
      <c r="B5" t="s">
        <v>24</v>
      </c>
      <c r="C5" t="s">
        <v>25</v>
      </c>
      <c r="D5">
        <v>42.65222</v>
      </c>
      <c r="E5">
        <v>-73.767240000000001</v>
      </c>
      <c r="F5" t="s">
        <v>22</v>
      </c>
      <c r="G5">
        <v>160</v>
      </c>
      <c r="H5">
        <v>1</v>
      </c>
      <c r="I5">
        <v>332</v>
      </c>
      <c r="J5" s="1">
        <v>45838</v>
      </c>
      <c r="K5">
        <v>2.4700000000000002</v>
      </c>
      <c r="L5">
        <v>7</v>
      </c>
      <c r="M5">
        <v>359</v>
      </c>
      <c r="N5">
        <v>1</v>
      </c>
      <c r="O5" t="str">
        <f t="shared" si="0"/>
        <v>101-200</v>
      </c>
      <c r="P5" t="str">
        <f>IF(airbnb_data3[[#This Row],[price]]&lt;=100,"Budget",
IF(airbnb_data3[[#This Row],[price]]&lt;=200,"Mid-range",
IF(airbnb_data3[[#This Row],[price]]&lt;=300,"Premium","Luxury")))</f>
        <v>Mid-range</v>
      </c>
      <c r="Q5" t="str">
        <f>IF(airbnb_data3[[#This Row],[availability_365]]&lt;=120,"Low Availability",IF(airbnb_data3[[#This Row],[availability_365]]&lt;=240,"Medium Availability","High Availability"))</f>
        <v>High Availability</v>
      </c>
      <c r="R5" s="6" t="str">
        <f t="shared" si="1"/>
        <v>High</v>
      </c>
      <c r="S5" s="6" t="str">
        <f>IF(airbnb_data3[[#This Row],[minimum_nights]]&lt;=3,"Short Stay",IF(airbnb_data3[[#This Row],[minimum_nights]]&lt;=7,"Medium Stay","Long Stay"))</f>
        <v>Short Stay</v>
      </c>
    </row>
    <row r="6" spans="1:19" x14ac:dyDescent="0.35">
      <c r="A6" t="s">
        <v>30</v>
      </c>
      <c r="B6" t="s">
        <v>27</v>
      </c>
      <c r="C6" t="s">
        <v>28</v>
      </c>
      <c r="D6">
        <v>42.64734</v>
      </c>
      <c r="E6">
        <v>-73.758510000000001</v>
      </c>
      <c r="F6" t="s">
        <v>31</v>
      </c>
      <c r="G6">
        <v>86</v>
      </c>
      <c r="H6">
        <v>1</v>
      </c>
      <c r="I6">
        <v>469</v>
      </c>
      <c r="J6" s="1">
        <v>46182</v>
      </c>
      <c r="K6">
        <v>3.71</v>
      </c>
      <c r="L6">
        <v>2</v>
      </c>
      <c r="M6">
        <v>235</v>
      </c>
      <c r="N6">
        <v>47</v>
      </c>
      <c r="O6" t="str">
        <f t="shared" si="0"/>
        <v>0-100</v>
      </c>
      <c r="P6" t="str">
        <f>IF(airbnb_data3[[#This Row],[price]]&lt;=100,"Budget",
IF(airbnb_data3[[#This Row],[price]]&lt;=200,"Mid-range",
IF(airbnb_data3[[#This Row],[price]]&lt;=300,"Premium","Luxury")))</f>
        <v>Budget</v>
      </c>
      <c r="Q6" t="str">
        <f>IF(airbnb_data3[[#This Row],[availability_365]]&lt;=120,"Low Availability",IF(airbnb_data3[[#This Row],[availability_365]]&lt;=240,"Medium Availability","High Availability"))</f>
        <v>Medium Availability</v>
      </c>
      <c r="R6" s="6" t="str">
        <f t="shared" si="1"/>
        <v>High</v>
      </c>
      <c r="S6" s="6" t="str">
        <f>IF(airbnb_data3[[#This Row],[minimum_nights]]&lt;=3,"Short Stay",IF(airbnb_data3[[#This Row],[minimum_nights]]&lt;=7,"Medium Stay","Long Stay"))</f>
        <v>Short Stay</v>
      </c>
    </row>
    <row r="7" spans="1:19" x14ac:dyDescent="0.35">
      <c r="A7" t="s">
        <v>32</v>
      </c>
      <c r="B7" t="s">
        <v>33</v>
      </c>
      <c r="C7" t="s">
        <v>34</v>
      </c>
      <c r="D7">
        <v>42.660780000000003</v>
      </c>
      <c r="E7">
        <v>-73.805530000000005</v>
      </c>
      <c r="F7" t="s">
        <v>31</v>
      </c>
      <c r="G7">
        <v>58</v>
      </c>
      <c r="H7">
        <v>1</v>
      </c>
      <c r="I7">
        <v>906</v>
      </c>
      <c r="J7" s="1">
        <v>46174</v>
      </c>
      <c r="K7">
        <v>7.18</v>
      </c>
      <c r="L7">
        <v>2</v>
      </c>
      <c r="M7">
        <v>154</v>
      </c>
      <c r="N7">
        <v>103</v>
      </c>
      <c r="O7" t="str">
        <f t="shared" si="0"/>
        <v>0-100</v>
      </c>
      <c r="P7" t="str">
        <f>IF(airbnb_data3[[#This Row],[price]]&lt;=100,"Budget",
IF(airbnb_data3[[#This Row],[price]]&lt;=200,"Mid-range",
IF(airbnb_data3[[#This Row],[price]]&lt;=300,"Premium","Luxury")))</f>
        <v>Budget</v>
      </c>
      <c r="Q7" t="str">
        <f>IF(airbnb_data3[[#This Row],[availability_365]]&lt;=120,"Low Availability",IF(airbnb_data3[[#This Row],[availability_365]]&lt;=240,"Medium Availability","High Availability"))</f>
        <v>Medium Availability</v>
      </c>
      <c r="R7" s="6" t="str">
        <f t="shared" si="1"/>
        <v>High</v>
      </c>
      <c r="S7" s="6" t="str">
        <f>IF(airbnb_data3[[#This Row],[minimum_nights]]&lt;=3,"Short Stay",IF(airbnb_data3[[#This Row],[minimum_nights]]&lt;=7,"Medium Stay","Long Stay"))</f>
        <v>Short Stay</v>
      </c>
    </row>
    <row r="8" spans="1:19" x14ac:dyDescent="0.35">
      <c r="A8" t="s">
        <v>35</v>
      </c>
      <c r="B8" t="s">
        <v>36</v>
      </c>
      <c r="C8" t="s">
        <v>37</v>
      </c>
      <c r="D8">
        <v>42.675669999999997</v>
      </c>
      <c r="E8">
        <v>-73.824380000000005</v>
      </c>
      <c r="F8" t="s">
        <v>22</v>
      </c>
      <c r="G8">
        <v>277</v>
      </c>
      <c r="H8">
        <v>1</v>
      </c>
      <c r="I8">
        <v>227</v>
      </c>
      <c r="J8" s="1">
        <v>46166</v>
      </c>
      <c r="K8">
        <v>1.86</v>
      </c>
      <c r="L8">
        <v>8</v>
      </c>
      <c r="M8">
        <v>357</v>
      </c>
      <c r="N8">
        <v>36</v>
      </c>
      <c r="O8" t="str">
        <f t="shared" si="0"/>
        <v>201-300</v>
      </c>
      <c r="P8" t="str">
        <f>IF(airbnb_data3[[#This Row],[price]]&lt;=100,"Budget",
IF(airbnb_data3[[#This Row],[price]]&lt;=200,"Mid-range",
IF(airbnb_data3[[#This Row],[price]]&lt;=300,"Premium","Luxury")))</f>
        <v>Premium</v>
      </c>
      <c r="Q8" t="str">
        <f>IF(airbnb_data3[[#This Row],[availability_365]]&lt;=120,"Low Availability",IF(airbnb_data3[[#This Row],[availability_365]]&lt;=240,"Medium Availability","High Availability"))</f>
        <v>High Availability</v>
      </c>
      <c r="R8" s="6" t="str">
        <f t="shared" si="1"/>
        <v>Medium</v>
      </c>
      <c r="S8" s="6" t="str">
        <f>IF(airbnb_data3[[#This Row],[minimum_nights]]&lt;=3,"Short Stay",IF(airbnb_data3[[#This Row],[minimum_nights]]&lt;=7,"Medium Stay","Long Stay"))</f>
        <v>Short Stay</v>
      </c>
    </row>
    <row r="9" spans="1:19" x14ac:dyDescent="0.35">
      <c r="A9" t="s">
        <v>38</v>
      </c>
      <c r="B9" t="s">
        <v>39</v>
      </c>
      <c r="C9" t="s">
        <v>40</v>
      </c>
      <c r="D9">
        <v>42.675829999999998</v>
      </c>
      <c r="E9">
        <v>-73.782970000000006</v>
      </c>
      <c r="F9" t="s">
        <v>31</v>
      </c>
      <c r="G9">
        <v>63</v>
      </c>
      <c r="H9">
        <v>15</v>
      </c>
      <c r="I9">
        <v>231</v>
      </c>
      <c r="J9" s="1">
        <v>45351</v>
      </c>
      <c r="K9">
        <v>1.89</v>
      </c>
      <c r="L9">
        <v>2</v>
      </c>
      <c r="M9">
        <v>364</v>
      </c>
      <c r="N9">
        <v>0</v>
      </c>
      <c r="O9" t="str">
        <f t="shared" si="0"/>
        <v>0-100</v>
      </c>
      <c r="P9" t="str">
        <f>IF(airbnb_data3[[#This Row],[price]]&lt;=100,"Budget",
IF(airbnb_data3[[#This Row],[price]]&lt;=200,"Mid-range",
IF(airbnb_data3[[#This Row],[price]]&lt;=300,"Premium","Luxury")))</f>
        <v>Budget</v>
      </c>
      <c r="Q9" t="str">
        <f>IF(airbnb_data3[[#This Row],[availability_365]]&lt;=120,"Low Availability",IF(airbnb_data3[[#This Row],[availability_365]]&lt;=240,"Medium Availability","High Availability"))</f>
        <v>High Availability</v>
      </c>
      <c r="R9" s="6" t="str">
        <f t="shared" si="1"/>
        <v>High</v>
      </c>
      <c r="S9" s="6" t="str">
        <f>IF(airbnb_data3[[#This Row],[minimum_nights]]&lt;=3,"Short Stay",IF(airbnb_data3[[#This Row],[minimum_nights]]&lt;=7,"Medium Stay","Long Stay"))</f>
        <v>Long Stay</v>
      </c>
    </row>
    <row r="10" spans="1:19" x14ac:dyDescent="0.35">
      <c r="A10" t="s">
        <v>41</v>
      </c>
      <c r="B10" t="s">
        <v>42</v>
      </c>
      <c r="C10" t="s">
        <v>25</v>
      </c>
      <c r="D10">
        <v>42.651539999999997</v>
      </c>
      <c r="E10">
        <v>-73.76867</v>
      </c>
      <c r="F10" t="s">
        <v>31</v>
      </c>
      <c r="G10">
        <v>64</v>
      </c>
      <c r="H10">
        <v>5</v>
      </c>
      <c r="I10">
        <v>29</v>
      </c>
      <c r="J10" s="1">
        <v>45878</v>
      </c>
      <c r="K10">
        <v>0.41</v>
      </c>
      <c r="L10">
        <v>2</v>
      </c>
      <c r="M10">
        <v>263</v>
      </c>
      <c r="N10">
        <v>1</v>
      </c>
      <c r="O10" t="str">
        <f t="shared" si="0"/>
        <v>0-100</v>
      </c>
      <c r="P10" t="str">
        <f>IF(airbnb_data3[[#This Row],[price]]&lt;=100,"Budget",
IF(airbnb_data3[[#This Row],[price]]&lt;=200,"Mid-range",
IF(airbnb_data3[[#This Row],[price]]&lt;=300,"Premium","Luxury")))</f>
        <v>Budget</v>
      </c>
      <c r="Q10" t="str">
        <f>IF(airbnb_data3[[#This Row],[availability_365]]&lt;=120,"Low Availability",IF(airbnb_data3[[#This Row],[availability_365]]&lt;=240,"Medium Availability","High Availability"))</f>
        <v>High Availability</v>
      </c>
      <c r="R10" s="6" t="str">
        <f t="shared" si="1"/>
        <v>Medium</v>
      </c>
      <c r="S10" s="6" t="str">
        <f>IF(airbnb_data3[[#This Row],[minimum_nights]]&lt;=3,"Short Stay",IF(airbnb_data3[[#This Row],[minimum_nights]]&lt;=7,"Medium Stay","Long Stay"))</f>
        <v>Medium Stay</v>
      </c>
    </row>
    <row r="11" spans="1:19" x14ac:dyDescent="0.35">
      <c r="A11" t="s">
        <v>43</v>
      </c>
      <c r="B11" t="s">
        <v>44</v>
      </c>
      <c r="C11" t="s">
        <v>37</v>
      </c>
      <c r="D11">
        <v>42.669719999999998</v>
      </c>
      <c r="E11">
        <v>-73.827529999999996</v>
      </c>
      <c r="F11" t="s">
        <v>22</v>
      </c>
      <c r="G11">
        <v>313</v>
      </c>
      <c r="H11">
        <v>2</v>
      </c>
      <c r="I11">
        <v>200</v>
      </c>
      <c r="J11" s="1">
        <v>46187</v>
      </c>
      <c r="K11">
        <v>1.65</v>
      </c>
      <c r="L11">
        <v>1</v>
      </c>
      <c r="M11">
        <v>319</v>
      </c>
      <c r="N11">
        <v>11</v>
      </c>
      <c r="O11" t="str">
        <f t="shared" si="0"/>
        <v>301-500</v>
      </c>
      <c r="P11" t="str">
        <f>IF(airbnb_data3[[#This Row],[price]]&lt;=100,"Budget",
IF(airbnb_data3[[#This Row],[price]]&lt;=200,"Mid-range",
IF(airbnb_data3[[#This Row],[price]]&lt;=300,"Premium","Luxury")))</f>
        <v>Luxury</v>
      </c>
      <c r="Q11" t="str">
        <f>IF(airbnb_data3[[#This Row],[availability_365]]&lt;=120,"Low Availability",IF(airbnb_data3[[#This Row],[availability_365]]&lt;=240,"Medium Availability","High Availability"))</f>
        <v>High Availability</v>
      </c>
      <c r="R11" s="6" t="str">
        <f t="shared" si="1"/>
        <v>High</v>
      </c>
      <c r="S11" s="6" t="str">
        <f>IF(airbnb_data3[[#This Row],[minimum_nights]]&lt;=3,"Short Stay",IF(airbnb_data3[[#This Row],[minimum_nights]]&lt;=7,"Medium Stay","Long Stay"))</f>
        <v>Short Stay</v>
      </c>
    </row>
    <row r="12" spans="1:19" x14ac:dyDescent="0.35">
      <c r="A12" t="s">
        <v>45</v>
      </c>
      <c r="B12" t="s">
        <v>46</v>
      </c>
      <c r="C12" t="s">
        <v>47</v>
      </c>
      <c r="D12">
        <v>42.657260000000001</v>
      </c>
      <c r="E12">
        <v>-73.78219</v>
      </c>
      <c r="F12" t="s">
        <v>31</v>
      </c>
      <c r="G12">
        <v>52</v>
      </c>
      <c r="H12">
        <v>18</v>
      </c>
      <c r="I12">
        <v>55</v>
      </c>
      <c r="J12" s="1">
        <v>46081</v>
      </c>
      <c r="K12">
        <v>0.46</v>
      </c>
      <c r="L12">
        <v>2</v>
      </c>
      <c r="M12">
        <v>276</v>
      </c>
      <c r="N12">
        <v>1</v>
      </c>
      <c r="O12" t="str">
        <f t="shared" si="0"/>
        <v>0-100</v>
      </c>
      <c r="P12" t="str">
        <f>IF(airbnb_data3[[#This Row],[price]]&lt;=100,"Budget",
IF(airbnb_data3[[#This Row],[price]]&lt;=200,"Mid-range",
IF(airbnb_data3[[#This Row],[price]]&lt;=300,"Premium","Luxury")))</f>
        <v>Budget</v>
      </c>
      <c r="Q12" t="str">
        <f>IF(airbnb_data3[[#This Row],[availability_365]]&lt;=120,"Low Availability",IF(airbnb_data3[[#This Row],[availability_365]]&lt;=240,"Medium Availability","High Availability"))</f>
        <v>High Availability</v>
      </c>
      <c r="R12" s="6" t="str">
        <f t="shared" si="1"/>
        <v>Medium</v>
      </c>
      <c r="S12" s="6" t="str">
        <f>IF(airbnb_data3[[#This Row],[minimum_nights]]&lt;=3,"Short Stay",IF(airbnb_data3[[#This Row],[minimum_nights]]&lt;=7,"Medium Stay","Long Stay"))</f>
        <v>Long Stay</v>
      </c>
    </row>
    <row r="13" spans="1:19" x14ac:dyDescent="0.35">
      <c r="A13" t="s">
        <v>48</v>
      </c>
      <c r="B13" t="s">
        <v>36</v>
      </c>
      <c r="C13" t="s">
        <v>37</v>
      </c>
      <c r="D13">
        <v>42.673512000000002</v>
      </c>
      <c r="E13">
        <v>-73.819678999999994</v>
      </c>
      <c r="F13" t="s">
        <v>22</v>
      </c>
      <c r="G13">
        <v>394</v>
      </c>
      <c r="H13">
        <v>1</v>
      </c>
      <c r="I13">
        <v>143</v>
      </c>
      <c r="J13" s="1">
        <v>46164</v>
      </c>
      <c r="K13">
        <v>1.22</v>
      </c>
      <c r="L13">
        <v>8</v>
      </c>
      <c r="M13">
        <v>305</v>
      </c>
      <c r="N13">
        <v>30</v>
      </c>
      <c r="O13" t="str">
        <f t="shared" si="0"/>
        <v>301-500</v>
      </c>
      <c r="P13" t="str">
        <f>IF(airbnb_data3[[#This Row],[price]]&lt;=100,"Budget",
IF(airbnb_data3[[#This Row],[price]]&lt;=200,"Mid-range",
IF(airbnb_data3[[#This Row],[price]]&lt;=300,"Premium","Luxury")))</f>
        <v>Luxury</v>
      </c>
      <c r="Q13" t="str">
        <f>IF(airbnb_data3[[#This Row],[availability_365]]&lt;=120,"Low Availability",IF(airbnb_data3[[#This Row],[availability_365]]&lt;=240,"Medium Availability","High Availability"))</f>
        <v>High Availability</v>
      </c>
      <c r="R13" s="6" t="str">
        <f t="shared" si="1"/>
        <v>High</v>
      </c>
      <c r="S13" s="6" t="str">
        <f>IF(airbnb_data3[[#This Row],[minimum_nights]]&lt;=3,"Short Stay",IF(airbnb_data3[[#This Row],[minimum_nights]]&lt;=7,"Medium Stay","Long Stay"))</f>
        <v>Short Stay</v>
      </c>
    </row>
    <row r="14" spans="1:19" x14ac:dyDescent="0.35">
      <c r="A14" t="s">
        <v>49</v>
      </c>
      <c r="B14" t="s">
        <v>50</v>
      </c>
      <c r="C14" t="s">
        <v>51</v>
      </c>
      <c r="D14">
        <v>42.656509999999997</v>
      </c>
      <c r="E14">
        <v>-73.778869999999998</v>
      </c>
      <c r="F14" t="s">
        <v>31</v>
      </c>
      <c r="G14">
        <v>69</v>
      </c>
      <c r="H14">
        <v>2</v>
      </c>
      <c r="I14">
        <v>55</v>
      </c>
      <c r="J14" s="1">
        <v>45981</v>
      </c>
      <c r="K14">
        <v>0.5</v>
      </c>
      <c r="L14">
        <v>2</v>
      </c>
      <c r="M14">
        <v>97</v>
      </c>
      <c r="N14">
        <v>7</v>
      </c>
      <c r="O14" t="str">
        <f t="shared" si="0"/>
        <v>0-100</v>
      </c>
      <c r="P14" t="str">
        <f>IF(airbnb_data3[[#This Row],[price]]&lt;=100,"Budget",
IF(airbnb_data3[[#This Row],[price]]&lt;=200,"Mid-range",
IF(airbnb_data3[[#This Row],[price]]&lt;=300,"Premium","Luxury")))</f>
        <v>Budget</v>
      </c>
      <c r="Q14" t="str">
        <f>IF(airbnb_data3[[#This Row],[availability_365]]&lt;=120,"Low Availability",IF(airbnb_data3[[#This Row],[availability_365]]&lt;=240,"Medium Availability","High Availability"))</f>
        <v>Low Availability</v>
      </c>
      <c r="R14" s="6" t="str">
        <f t="shared" si="1"/>
        <v>High</v>
      </c>
      <c r="S14" s="6" t="str">
        <f>IF(airbnb_data3[[#This Row],[minimum_nights]]&lt;=3,"Short Stay",IF(airbnb_data3[[#This Row],[minimum_nights]]&lt;=7,"Medium Stay","Long Stay"))</f>
        <v>Short Stay</v>
      </c>
    </row>
    <row r="15" spans="1:19" x14ac:dyDescent="0.35">
      <c r="A15" t="s">
        <v>52</v>
      </c>
      <c r="B15" t="s">
        <v>33</v>
      </c>
      <c r="C15" t="s">
        <v>34</v>
      </c>
      <c r="D15">
        <v>42.66075</v>
      </c>
      <c r="E15">
        <v>-73.806049999999999</v>
      </c>
      <c r="F15" t="s">
        <v>31</v>
      </c>
      <c r="G15">
        <v>92</v>
      </c>
      <c r="H15">
        <v>1</v>
      </c>
      <c r="I15">
        <v>604</v>
      </c>
      <c r="J15" s="1">
        <v>46174</v>
      </c>
      <c r="K15">
        <v>8.1999999999999993</v>
      </c>
      <c r="L15">
        <v>2</v>
      </c>
      <c r="M15">
        <v>333</v>
      </c>
      <c r="N15">
        <v>108</v>
      </c>
      <c r="O15" t="str">
        <f t="shared" si="0"/>
        <v>0-100</v>
      </c>
      <c r="P15" t="str">
        <f>IF(airbnb_data3[[#This Row],[price]]&lt;=100,"Budget",
IF(airbnb_data3[[#This Row],[price]]&lt;=200,"Mid-range",
IF(airbnb_data3[[#This Row],[price]]&lt;=300,"Premium","Luxury")))</f>
        <v>Budget</v>
      </c>
      <c r="Q15" t="str">
        <f>IF(airbnb_data3[[#This Row],[availability_365]]&lt;=120,"Low Availability",IF(airbnb_data3[[#This Row],[availability_365]]&lt;=240,"Medium Availability","High Availability"))</f>
        <v>High Availability</v>
      </c>
      <c r="R15" s="6" t="str">
        <f t="shared" si="1"/>
        <v>Medium</v>
      </c>
      <c r="S15" s="6" t="str">
        <f>IF(airbnb_data3[[#This Row],[minimum_nights]]&lt;=3,"Short Stay",IF(airbnb_data3[[#This Row],[minimum_nights]]&lt;=7,"Medium Stay","Long Stay"))</f>
        <v>Short Stay</v>
      </c>
    </row>
    <row r="16" spans="1:19" ht="101.5" x14ac:dyDescent="0.35">
      <c r="A16" s="2" t="s">
        <v>53</v>
      </c>
      <c r="B16" t="s">
        <v>39</v>
      </c>
      <c r="C16" t="s">
        <v>54</v>
      </c>
      <c r="D16">
        <v>42.676139999999997</v>
      </c>
      <c r="E16">
        <v>-73.781689999999998</v>
      </c>
      <c r="F16" t="s">
        <v>31</v>
      </c>
      <c r="G16">
        <v>61</v>
      </c>
      <c r="H16">
        <v>15</v>
      </c>
      <c r="I16">
        <v>132</v>
      </c>
      <c r="J16" s="1">
        <v>45505</v>
      </c>
      <c r="K16">
        <v>1.18</v>
      </c>
      <c r="L16">
        <v>2</v>
      </c>
      <c r="M16">
        <v>364</v>
      </c>
      <c r="N16">
        <v>0</v>
      </c>
      <c r="O16" t="str">
        <f t="shared" si="0"/>
        <v>0-100</v>
      </c>
      <c r="P16" t="str">
        <f>IF(airbnb_data3[[#This Row],[price]]&lt;=100,"Budget",
IF(airbnb_data3[[#This Row],[price]]&lt;=200,"Mid-range",
IF(airbnb_data3[[#This Row],[price]]&lt;=300,"Premium","Luxury")))</f>
        <v>Budget</v>
      </c>
      <c r="Q16" t="str">
        <f>IF(airbnb_data3[[#This Row],[availability_365]]&lt;=120,"Low Availability",IF(airbnb_data3[[#This Row],[availability_365]]&lt;=240,"Medium Availability","High Availability"))</f>
        <v>High Availability</v>
      </c>
      <c r="R16" s="6" t="str">
        <f t="shared" si="1"/>
        <v>Medium</v>
      </c>
      <c r="S16" s="6" t="str">
        <f>IF(airbnb_data3[[#This Row],[minimum_nights]]&lt;=3,"Short Stay",IF(airbnb_data3[[#This Row],[minimum_nights]]&lt;=7,"Medium Stay","Long Stay"))</f>
        <v>Long Stay</v>
      </c>
    </row>
    <row r="17" spans="1:19" x14ac:dyDescent="0.35">
      <c r="A17" t="s">
        <v>55</v>
      </c>
      <c r="B17" t="s">
        <v>46</v>
      </c>
      <c r="C17" t="s">
        <v>47</v>
      </c>
      <c r="D17">
        <v>42.6584</v>
      </c>
      <c r="E17">
        <v>-73.783090000000001</v>
      </c>
      <c r="F17" t="s">
        <v>31</v>
      </c>
      <c r="G17">
        <v>52</v>
      </c>
      <c r="H17">
        <v>1</v>
      </c>
      <c r="I17">
        <v>56</v>
      </c>
      <c r="J17" s="1">
        <v>45598</v>
      </c>
      <c r="K17">
        <v>0.5</v>
      </c>
      <c r="L17">
        <v>2</v>
      </c>
      <c r="M17">
        <v>332</v>
      </c>
      <c r="N17">
        <v>0</v>
      </c>
      <c r="O17" t="str">
        <f t="shared" si="0"/>
        <v>0-100</v>
      </c>
      <c r="P17" t="str">
        <f>IF(airbnb_data3[[#This Row],[price]]&lt;=100,"Budget",
IF(airbnb_data3[[#This Row],[price]]&lt;=200,"Mid-range",
IF(airbnb_data3[[#This Row],[price]]&lt;=300,"Premium","Luxury")))</f>
        <v>Budget</v>
      </c>
      <c r="Q17" t="str">
        <f>IF(airbnb_data3[[#This Row],[availability_365]]&lt;=120,"Low Availability",IF(airbnb_data3[[#This Row],[availability_365]]&lt;=240,"Medium Availability","High Availability"))</f>
        <v>High Availability</v>
      </c>
      <c r="R17" s="6" t="str">
        <f t="shared" si="1"/>
        <v>Medium</v>
      </c>
      <c r="S17" s="6" t="str">
        <f>IF(airbnb_data3[[#This Row],[minimum_nights]]&lt;=3,"Short Stay",IF(airbnb_data3[[#This Row],[minimum_nights]]&lt;=7,"Medium Stay","Long Stay"))</f>
        <v>Short Stay</v>
      </c>
    </row>
    <row r="18" spans="1:19" x14ac:dyDescent="0.35">
      <c r="A18" t="s">
        <v>56</v>
      </c>
      <c r="B18" t="s">
        <v>36</v>
      </c>
      <c r="C18" t="s">
        <v>37</v>
      </c>
      <c r="D18">
        <v>42.676369999999999</v>
      </c>
      <c r="E18">
        <v>-73.823949999999996</v>
      </c>
      <c r="F18" t="s">
        <v>22</v>
      </c>
      <c r="G18">
        <v>412</v>
      </c>
      <c r="H18">
        <v>2</v>
      </c>
      <c r="I18">
        <v>58</v>
      </c>
      <c r="J18" s="1">
        <v>45517</v>
      </c>
      <c r="K18">
        <v>0.57999999999999996</v>
      </c>
      <c r="L18">
        <v>8</v>
      </c>
      <c r="M18">
        <v>350</v>
      </c>
      <c r="N18">
        <v>0</v>
      </c>
      <c r="O18" t="str">
        <f t="shared" si="0"/>
        <v>301-500</v>
      </c>
      <c r="P18" t="str">
        <f>IF(airbnb_data3[[#This Row],[price]]&lt;=100,"Budget",
IF(airbnb_data3[[#This Row],[price]]&lt;=200,"Mid-range",
IF(airbnb_data3[[#This Row],[price]]&lt;=300,"Premium","Luxury")))</f>
        <v>Luxury</v>
      </c>
      <c r="Q18" t="str">
        <f>IF(airbnb_data3[[#This Row],[availability_365]]&lt;=120,"Low Availability",IF(airbnb_data3[[#This Row],[availability_365]]&lt;=240,"Medium Availability","High Availability"))</f>
        <v>High Availability</v>
      </c>
      <c r="R18" s="6" t="str">
        <f t="shared" si="1"/>
        <v>High</v>
      </c>
      <c r="S18" s="6" t="str">
        <f>IF(airbnb_data3[[#This Row],[minimum_nights]]&lt;=3,"Short Stay",IF(airbnb_data3[[#This Row],[minimum_nights]]&lt;=7,"Medium Stay","Long Stay"))</f>
        <v>Short Stay</v>
      </c>
    </row>
    <row r="19" spans="1:19" x14ac:dyDescent="0.35">
      <c r="A19" t="s">
        <v>57</v>
      </c>
      <c r="B19" t="s">
        <v>58</v>
      </c>
      <c r="C19" t="s">
        <v>51</v>
      </c>
      <c r="D19">
        <v>42.653120000000001</v>
      </c>
      <c r="E19">
        <v>-73.781610000000001</v>
      </c>
      <c r="F19" t="s">
        <v>31</v>
      </c>
      <c r="G19">
        <v>92</v>
      </c>
      <c r="H19">
        <v>1</v>
      </c>
      <c r="I19">
        <v>92</v>
      </c>
      <c r="J19" s="1">
        <v>46122</v>
      </c>
      <c r="K19">
        <v>0.99</v>
      </c>
      <c r="L19">
        <v>3</v>
      </c>
      <c r="M19">
        <v>228</v>
      </c>
      <c r="N19">
        <v>10</v>
      </c>
      <c r="O19" t="str">
        <f t="shared" si="0"/>
        <v>0-100</v>
      </c>
      <c r="P19" t="str">
        <f>IF(airbnb_data3[[#This Row],[price]]&lt;=100,"Budget",
IF(airbnb_data3[[#This Row],[price]]&lt;=200,"Mid-range",
IF(airbnb_data3[[#This Row],[price]]&lt;=300,"Premium","Luxury")))</f>
        <v>Budget</v>
      </c>
      <c r="Q19" t="str">
        <f>IF(airbnb_data3[[#This Row],[availability_365]]&lt;=120,"Low Availability",IF(airbnb_data3[[#This Row],[availability_365]]&lt;=240,"Medium Availability","High Availability"))</f>
        <v>Medium Availability</v>
      </c>
      <c r="R19" s="6" t="str">
        <f t="shared" si="1"/>
        <v>High</v>
      </c>
      <c r="S19" s="6" t="str">
        <f>IF(airbnb_data3[[#This Row],[minimum_nights]]&lt;=3,"Short Stay",IF(airbnb_data3[[#This Row],[minimum_nights]]&lt;=7,"Medium Stay","Long Stay"))</f>
        <v>Short Stay</v>
      </c>
    </row>
    <row r="20" spans="1:19" x14ac:dyDescent="0.35">
      <c r="A20" t="s">
        <v>59</v>
      </c>
      <c r="B20" t="s">
        <v>60</v>
      </c>
      <c r="C20" t="s">
        <v>34</v>
      </c>
      <c r="D20">
        <v>42.658459999999998</v>
      </c>
      <c r="E20">
        <v>-73.802009999999996</v>
      </c>
      <c r="F20" t="s">
        <v>22</v>
      </c>
      <c r="G20">
        <v>388</v>
      </c>
      <c r="H20">
        <v>4</v>
      </c>
      <c r="I20">
        <v>132</v>
      </c>
      <c r="J20" s="1">
        <v>46169</v>
      </c>
      <c r="K20">
        <v>1.26</v>
      </c>
      <c r="L20">
        <v>1</v>
      </c>
      <c r="M20">
        <v>334</v>
      </c>
      <c r="N20">
        <v>15</v>
      </c>
      <c r="O20" t="str">
        <f t="shared" si="0"/>
        <v>301-500</v>
      </c>
      <c r="P20" t="str">
        <f>IF(airbnb_data3[[#This Row],[price]]&lt;=100,"Budget",
IF(airbnb_data3[[#This Row],[price]]&lt;=200,"Mid-range",
IF(airbnb_data3[[#This Row],[price]]&lt;=300,"Premium","Luxury")))</f>
        <v>Luxury</v>
      </c>
      <c r="Q20" t="str">
        <f>IF(airbnb_data3[[#This Row],[availability_365]]&lt;=120,"Low Availability",IF(airbnb_data3[[#This Row],[availability_365]]&lt;=240,"Medium Availability","High Availability"))</f>
        <v>High Availability</v>
      </c>
      <c r="R20" s="6" t="str">
        <f t="shared" si="1"/>
        <v>High</v>
      </c>
      <c r="S20" s="6" t="str">
        <f>IF(airbnb_data3[[#This Row],[minimum_nights]]&lt;=3,"Short Stay",IF(airbnb_data3[[#This Row],[minimum_nights]]&lt;=7,"Medium Stay","Long Stay"))</f>
        <v>Medium Stay</v>
      </c>
    </row>
    <row r="21" spans="1:19" x14ac:dyDescent="0.35">
      <c r="A21" t="s">
        <v>61</v>
      </c>
      <c r="B21" t="s">
        <v>36</v>
      </c>
      <c r="C21" t="s">
        <v>37</v>
      </c>
      <c r="D21">
        <v>42.674999999999997</v>
      </c>
      <c r="E21">
        <v>-73.823819999999998</v>
      </c>
      <c r="F21" t="s">
        <v>22</v>
      </c>
      <c r="G21">
        <v>246</v>
      </c>
      <c r="H21">
        <v>1</v>
      </c>
      <c r="I21">
        <v>102</v>
      </c>
      <c r="J21" s="1">
        <v>46089</v>
      </c>
      <c r="K21">
        <v>0.97</v>
      </c>
      <c r="L21">
        <v>8</v>
      </c>
      <c r="M21">
        <v>324</v>
      </c>
      <c r="N21">
        <v>21</v>
      </c>
      <c r="O21" t="str">
        <f t="shared" si="0"/>
        <v>201-300</v>
      </c>
      <c r="P21" t="str">
        <f>IF(airbnb_data3[[#This Row],[price]]&lt;=100,"Budget",
IF(airbnb_data3[[#This Row],[price]]&lt;=200,"Mid-range",
IF(airbnb_data3[[#This Row],[price]]&lt;=300,"Premium","Luxury")))</f>
        <v>Premium</v>
      </c>
      <c r="Q21" t="str">
        <f>IF(airbnb_data3[[#This Row],[availability_365]]&lt;=120,"Low Availability",IF(airbnb_data3[[#This Row],[availability_365]]&lt;=240,"Medium Availability","High Availability"))</f>
        <v>High Availability</v>
      </c>
      <c r="R21" s="6" t="str">
        <f t="shared" si="1"/>
        <v>Medium</v>
      </c>
      <c r="S21" s="6" t="str">
        <f>IF(airbnb_data3[[#This Row],[minimum_nights]]&lt;=3,"Short Stay",IF(airbnb_data3[[#This Row],[minimum_nights]]&lt;=7,"Medium Stay","Long Stay"))</f>
        <v>Short Stay</v>
      </c>
    </row>
    <row r="22" spans="1:19" x14ac:dyDescent="0.35">
      <c r="A22" t="s">
        <v>62</v>
      </c>
      <c r="B22" t="s">
        <v>63</v>
      </c>
      <c r="C22" t="s">
        <v>64</v>
      </c>
      <c r="D22">
        <v>42.649389999999997</v>
      </c>
      <c r="E22">
        <v>-73.768649999999994</v>
      </c>
      <c r="F22" t="s">
        <v>22</v>
      </c>
      <c r="G22">
        <v>194</v>
      </c>
      <c r="H22">
        <v>2</v>
      </c>
      <c r="I22">
        <v>132</v>
      </c>
      <c r="J22" s="1">
        <v>45950</v>
      </c>
      <c r="K22">
        <v>1.32</v>
      </c>
      <c r="L22">
        <v>2</v>
      </c>
      <c r="M22">
        <v>355</v>
      </c>
      <c r="N22">
        <v>1</v>
      </c>
      <c r="O22" t="str">
        <f t="shared" si="0"/>
        <v>101-200</v>
      </c>
      <c r="P22" t="str">
        <f>IF(airbnb_data3[[#This Row],[price]]&lt;=100,"Budget",
IF(airbnb_data3[[#This Row],[price]]&lt;=200,"Mid-range",
IF(airbnb_data3[[#This Row],[price]]&lt;=300,"Premium","Luxury")))</f>
        <v>Mid-range</v>
      </c>
      <c r="Q22" t="str">
        <f>IF(airbnb_data3[[#This Row],[availability_365]]&lt;=120,"Low Availability",IF(airbnb_data3[[#This Row],[availability_365]]&lt;=240,"Medium Availability","High Availability"))</f>
        <v>High Availability</v>
      </c>
      <c r="R22" s="6" t="str">
        <f t="shared" si="1"/>
        <v>Medium</v>
      </c>
      <c r="S22" s="6" t="str">
        <f>IF(airbnb_data3[[#This Row],[minimum_nights]]&lt;=3,"Short Stay",IF(airbnb_data3[[#This Row],[minimum_nights]]&lt;=7,"Medium Stay","Long Stay"))</f>
        <v>Short Stay</v>
      </c>
    </row>
    <row r="23" spans="1:19" x14ac:dyDescent="0.35">
      <c r="A23" t="s">
        <v>65</v>
      </c>
      <c r="B23" t="s">
        <v>66</v>
      </c>
      <c r="C23" t="s">
        <v>51</v>
      </c>
      <c r="D23">
        <v>42.655320000000003</v>
      </c>
      <c r="E23">
        <v>-73.782439999999994</v>
      </c>
      <c r="F23" t="s">
        <v>22</v>
      </c>
      <c r="G23">
        <v>129</v>
      </c>
      <c r="H23">
        <v>2</v>
      </c>
      <c r="I23">
        <v>54</v>
      </c>
      <c r="J23" s="1">
        <v>46170</v>
      </c>
      <c r="K23">
        <v>0.51</v>
      </c>
      <c r="L23">
        <v>8</v>
      </c>
      <c r="M23">
        <v>258</v>
      </c>
      <c r="N23">
        <v>6</v>
      </c>
      <c r="O23" t="str">
        <f t="shared" si="0"/>
        <v>101-200</v>
      </c>
      <c r="P23" t="str">
        <f>IF(airbnb_data3[[#This Row],[price]]&lt;=100,"Budget",
IF(airbnb_data3[[#This Row],[price]]&lt;=200,"Mid-range",
IF(airbnb_data3[[#This Row],[price]]&lt;=300,"Premium","Luxury")))</f>
        <v>Mid-range</v>
      </c>
      <c r="Q23" t="str">
        <f>IF(airbnb_data3[[#This Row],[availability_365]]&lt;=120,"Low Availability",IF(airbnb_data3[[#This Row],[availability_365]]&lt;=240,"Medium Availability","High Availability"))</f>
        <v>High Availability</v>
      </c>
      <c r="R23" s="6" t="str">
        <f t="shared" si="1"/>
        <v>High</v>
      </c>
      <c r="S23" s="6" t="str">
        <f>IF(airbnb_data3[[#This Row],[minimum_nights]]&lt;=3,"Short Stay",IF(airbnb_data3[[#This Row],[minimum_nights]]&lt;=7,"Medium Stay","Long Stay"))</f>
        <v>Short Stay</v>
      </c>
    </row>
    <row r="24" spans="1:19" x14ac:dyDescent="0.35">
      <c r="A24" t="s">
        <v>67</v>
      </c>
      <c r="B24" t="s">
        <v>46</v>
      </c>
      <c r="C24" t="s">
        <v>68</v>
      </c>
      <c r="D24">
        <v>42.665649999999999</v>
      </c>
      <c r="E24">
        <v>-73.779750000000007</v>
      </c>
      <c r="F24" t="s">
        <v>31</v>
      </c>
      <c r="G24">
        <v>51</v>
      </c>
      <c r="H24">
        <v>18</v>
      </c>
      <c r="I24">
        <v>49</v>
      </c>
      <c r="J24" s="1">
        <v>46031</v>
      </c>
      <c r="K24">
        <v>0.51</v>
      </c>
      <c r="L24">
        <v>3</v>
      </c>
      <c r="M24">
        <v>359</v>
      </c>
      <c r="N24">
        <v>3</v>
      </c>
      <c r="O24" t="str">
        <f t="shared" si="0"/>
        <v>0-100</v>
      </c>
      <c r="P24" t="str">
        <f>IF(airbnb_data3[[#This Row],[price]]&lt;=100,"Budget",
IF(airbnb_data3[[#This Row],[price]]&lt;=200,"Mid-range",
IF(airbnb_data3[[#This Row],[price]]&lt;=300,"Premium","Luxury")))</f>
        <v>Budget</v>
      </c>
      <c r="Q24" t="str">
        <f>IF(airbnb_data3[[#This Row],[availability_365]]&lt;=120,"Low Availability",IF(airbnb_data3[[#This Row],[availability_365]]&lt;=240,"Medium Availability","High Availability"))</f>
        <v>High Availability</v>
      </c>
      <c r="R24" s="6" t="str">
        <f t="shared" si="1"/>
        <v>Medium</v>
      </c>
      <c r="S24" s="6" t="str">
        <f>IF(airbnb_data3[[#This Row],[minimum_nights]]&lt;=3,"Short Stay",IF(airbnb_data3[[#This Row],[minimum_nights]]&lt;=7,"Medium Stay","Long Stay"))</f>
        <v>Long Stay</v>
      </c>
    </row>
    <row r="25" spans="1:19" x14ac:dyDescent="0.35">
      <c r="A25" t="s">
        <v>69</v>
      </c>
      <c r="B25" t="s">
        <v>66</v>
      </c>
      <c r="C25" t="s">
        <v>51</v>
      </c>
      <c r="D25">
        <v>42.65372</v>
      </c>
      <c r="E25">
        <v>-73.782439999999994</v>
      </c>
      <c r="F25" t="s">
        <v>22</v>
      </c>
      <c r="G25">
        <v>132</v>
      </c>
      <c r="H25">
        <v>2</v>
      </c>
      <c r="I25">
        <v>140</v>
      </c>
      <c r="J25" s="1">
        <v>46081</v>
      </c>
      <c r="K25">
        <v>1.34</v>
      </c>
      <c r="L25">
        <v>8</v>
      </c>
      <c r="M25">
        <v>259</v>
      </c>
      <c r="N25">
        <v>8</v>
      </c>
      <c r="O25" t="str">
        <f t="shared" si="0"/>
        <v>101-200</v>
      </c>
      <c r="P25" t="str">
        <f>IF(airbnb_data3[[#This Row],[price]]&lt;=100,"Budget",
IF(airbnb_data3[[#This Row],[price]]&lt;=200,"Mid-range",
IF(airbnb_data3[[#This Row],[price]]&lt;=300,"Premium","Luxury")))</f>
        <v>Mid-range</v>
      </c>
      <c r="Q25" t="str">
        <f>IF(airbnb_data3[[#This Row],[availability_365]]&lt;=120,"Low Availability",IF(airbnb_data3[[#This Row],[availability_365]]&lt;=240,"Medium Availability","High Availability"))</f>
        <v>High Availability</v>
      </c>
      <c r="R25" s="6" t="str">
        <f t="shared" si="1"/>
        <v>High</v>
      </c>
      <c r="S25" s="6" t="str">
        <f>IF(airbnb_data3[[#This Row],[minimum_nights]]&lt;=3,"Short Stay",IF(airbnb_data3[[#This Row],[minimum_nights]]&lt;=7,"Medium Stay","Long Stay"))</f>
        <v>Short Stay</v>
      </c>
    </row>
    <row r="26" spans="1:19" x14ac:dyDescent="0.35">
      <c r="A26" t="s">
        <v>70</v>
      </c>
      <c r="B26" t="s">
        <v>36</v>
      </c>
      <c r="C26" t="s">
        <v>37</v>
      </c>
      <c r="D26">
        <v>42.675469999999997</v>
      </c>
      <c r="E26">
        <v>-73.824020000000004</v>
      </c>
      <c r="F26" t="s">
        <v>22</v>
      </c>
      <c r="G26">
        <v>846</v>
      </c>
      <c r="H26">
        <v>4</v>
      </c>
      <c r="I26">
        <v>9</v>
      </c>
      <c r="J26" s="1">
        <v>45874</v>
      </c>
      <c r="K26">
        <v>0.09</v>
      </c>
      <c r="L26">
        <v>8</v>
      </c>
      <c r="M26">
        <v>364</v>
      </c>
      <c r="N26">
        <v>1</v>
      </c>
      <c r="O26" t="str">
        <f t="shared" si="0"/>
        <v>500+</v>
      </c>
      <c r="P26" t="str">
        <f>IF(airbnb_data3[[#This Row],[price]]&lt;=100,"Budget",
IF(airbnb_data3[[#This Row],[price]]&lt;=200,"Mid-range",
IF(airbnb_data3[[#This Row],[price]]&lt;=300,"Premium","Luxury")))</f>
        <v>Luxury</v>
      </c>
      <c r="Q26" t="str">
        <f>IF(airbnb_data3[[#This Row],[availability_365]]&lt;=120,"Low Availability",IF(airbnb_data3[[#This Row],[availability_365]]&lt;=240,"Medium Availability","High Availability"))</f>
        <v>High Availability</v>
      </c>
      <c r="R26" s="6" t="str">
        <f t="shared" si="1"/>
        <v>Medium</v>
      </c>
      <c r="S26" s="6" t="str">
        <f>IF(airbnb_data3[[#This Row],[minimum_nights]]&lt;=3,"Short Stay",IF(airbnb_data3[[#This Row],[minimum_nights]]&lt;=7,"Medium Stay","Long Stay"))</f>
        <v>Medium Stay</v>
      </c>
    </row>
    <row r="27" spans="1:19" x14ac:dyDescent="0.35">
      <c r="A27" t="s">
        <v>71</v>
      </c>
      <c r="B27" t="s">
        <v>72</v>
      </c>
      <c r="C27" t="s">
        <v>47</v>
      </c>
      <c r="D27">
        <v>42.660449999999997</v>
      </c>
      <c r="E27">
        <v>-73.778329999999997</v>
      </c>
      <c r="F27" t="s">
        <v>22</v>
      </c>
      <c r="G27">
        <v>114</v>
      </c>
      <c r="H27">
        <v>3</v>
      </c>
      <c r="I27">
        <v>191</v>
      </c>
      <c r="J27" s="1">
        <v>46155</v>
      </c>
      <c r="K27">
        <v>1.83</v>
      </c>
      <c r="L27">
        <v>9</v>
      </c>
      <c r="M27">
        <v>236</v>
      </c>
      <c r="N27">
        <v>10</v>
      </c>
      <c r="O27" t="str">
        <f t="shared" si="0"/>
        <v>101-200</v>
      </c>
      <c r="P27" t="str">
        <f>IF(airbnb_data3[[#This Row],[price]]&lt;=100,"Budget",
IF(airbnb_data3[[#This Row],[price]]&lt;=200,"Mid-range",
IF(airbnb_data3[[#This Row],[price]]&lt;=300,"Premium","Luxury")))</f>
        <v>Mid-range</v>
      </c>
      <c r="Q27" t="str">
        <f>IF(airbnb_data3[[#This Row],[availability_365]]&lt;=120,"Low Availability",IF(airbnb_data3[[#This Row],[availability_365]]&lt;=240,"Medium Availability","High Availability"))</f>
        <v>Medium Availability</v>
      </c>
      <c r="R27" s="6" t="str">
        <f t="shared" si="1"/>
        <v>High</v>
      </c>
      <c r="S27" s="6" t="str">
        <f>IF(airbnb_data3[[#This Row],[minimum_nights]]&lt;=3,"Short Stay",IF(airbnb_data3[[#This Row],[minimum_nights]]&lt;=7,"Medium Stay","Long Stay"))</f>
        <v>Short Stay</v>
      </c>
    </row>
    <row r="28" spans="1:19" x14ac:dyDescent="0.35">
      <c r="A28" t="s">
        <v>74</v>
      </c>
      <c r="B28" t="s">
        <v>46</v>
      </c>
      <c r="C28" t="s">
        <v>40</v>
      </c>
      <c r="D28">
        <v>42.667029999999997</v>
      </c>
      <c r="E28">
        <v>-73.778419999999997</v>
      </c>
      <c r="F28" t="s">
        <v>31</v>
      </c>
      <c r="G28">
        <v>49</v>
      </c>
      <c r="H28">
        <v>20</v>
      </c>
      <c r="I28">
        <v>28</v>
      </c>
      <c r="J28" s="1">
        <v>46024</v>
      </c>
      <c r="K28">
        <v>0.27</v>
      </c>
      <c r="L28">
        <v>3</v>
      </c>
      <c r="M28">
        <v>303</v>
      </c>
      <c r="N28">
        <v>2</v>
      </c>
      <c r="O28" t="str">
        <f t="shared" si="0"/>
        <v>0-100</v>
      </c>
      <c r="P28" t="str">
        <f>IF(airbnb_data3[[#This Row],[price]]&lt;=100,"Budget",
IF(airbnb_data3[[#This Row],[price]]&lt;=200,"Mid-range",
IF(airbnb_data3[[#This Row],[price]]&lt;=300,"Premium","Luxury")))</f>
        <v>Budget</v>
      </c>
      <c r="Q28" t="str">
        <f>IF(airbnb_data3[[#This Row],[availability_365]]&lt;=120,"Low Availability",IF(airbnb_data3[[#This Row],[availability_365]]&lt;=240,"Medium Availability","High Availability"))</f>
        <v>High Availability</v>
      </c>
      <c r="R28" s="6" t="str">
        <f t="shared" si="1"/>
        <v>Medium</v>
      </c>
      <c r="S28" s="6" t="str">
        <f>IF(airbnb_data3[[#This Row],[minimum_nights]]&lt;=3,"Short Stay",IF(airbnb_data3[[#This Row],[minimum_nights]]&lt;=7,"Medium Stay","Long Stay"))</f>
        <v>Long Stay</v>
      </c>
    </row>
    <row r="29" spans="1:19" x14ac:dyDescent="0.35">
      <c r="A29" t="s">
        <v>75</v>
      </c>
      <c r="B29" t="s">
        <v>66</v>
      </c>
      <c r="C29" t="s">
        <v>51</v>
      </c>
      <c r="D29">
        <v>42.655009999999997</v>
      </c>
      <c r="E29">
        <v>-73.781220000000005</v>
      </c>
      <c r="F29" t="s">
        <v>31</v>
      </c>
      <c r="G29">
        <v>103</v>
      </c>
      <c r="H29">
        <v>2</v>
      </c>
      <c r="I29">
        <v>142</v>
      </c>
      <c r="J29" s="1">
        <v>46184</v>
      </c>
      <c r="K29">
        <v>1.38</v>
      </c>
      <c r="L29">
        <v>8</v>
      </c>
      <c r="M29">
        <v>312</v>
      </c>
      <c r="N29">
        <v>20</v>
      </c>
      <c r="O29" t="str">
        <f t="shared" si="0"/>
        <v>101-200</v>
      </c>
      <c r="P29" t="str">
        <f>IF(airbnb_data3[[#This Row],[price]]&lt;=100,"Budget",
IF(airbnb_data3[[#This Row],[price]]&lt;=200,"Mid-range",
IF(airbnb_data3[[#This Row],[price]]&lt;=300,"Premium","Luxury")))</f>
        <v>Mid-range</v>
      </c>
      <c r="Q29" t="str">
        <f>IF(airbnb_data3[[#This Row],[availability_365]]&lt;=120,"Low Availability",IF(airbnb_data3[[#This Row],[availability_365]]&lt;=240,"Medium Availability","High Availability"))</f>
        <v>High Availability</v>
      </c>
      <c r="R29" s="6" t="str">
        <f t="shared" si="1"/>
        <v>High</v>
      </c>
      <c r="S29" s="6" t="str">
        <f>IF(airbnb_data3[[#This Row],[minimum_nights]]&lt;=3,"Short Stay",IF(airbnb_data3[[#This Row],[minimum_nights]]&lt;=7,"Medium Stay","Long Stay"))</f>
        <v>Short Stay</v>
      </c>
    </row>
    <row r="30" spans="1:19" x14ac:dyDescent="0.35">
      <c r="A30" t="s">
        <v>76</v>
      </c>
      <c r="B30" t="s">
        <v>66</v>
      </c>
      <c r="C30" t="s">
        <v>51</v>
      </c>
      <c r="D30">
        <v>42.654310000000002</v>
      </c>
      <c r="E30">
        <v>-73.781779999999998</v>
      </c>
      <c r="F30" t="s">
        <v>31</v>
      </c>
      <c r="G30">
        <v>97</v>
      </c>
      <c r="H30">
        <v>2</v>
      </c>
      <c r="I30">
        <v>58</v>
      </c>
      <c r="J30" s="1">
        <v>46168</v>
      </c>
      <c r="K30">
        <v>0.62</v>
      </c>
      <c r="L30">
        <v>8</v>
      </c>
      <c r="M30">
        <v>352</v>
      </c>
      <c r="N30">
        <v>8</v>
      </c>
      <c r="O30" t="str">
        <f t="shared" si="0"/>
        <v>0-100</v>
      </c>
      <c r="P30" t="str">
        <f>IF(airbnb_data3[[#This Row],[price]]&lt;=100,"Budget",
IF(airbnb_data3[[#This Row],[price]]&lt;=200,"Mid-range",
IF(airbnb_data3[[#This Row],[price]]&lt;=300,"Premium","Luxury")))</f>
        <v>Budget</v>
      </c>
      <c r="Q30" t="str">
        <f>IF(airbnb_data3[[#This Row],[availability_365]]&lt;=120,"Low Availability",IF(airbnb_data3[[#This Row],[availability_365]]&lt;=240,"Medium Availability","High Availability"))</f>
        <v>High Availability</v>
      </c>
      <c r="R30" s="6" t="str">
        <f t="shared" si="1"/>
        <v>High</v>
      </c>
      <c r="S30" s="6" t="str">
        <f>IF(airbnb_data3[[#This Row],[minimum_nights]]&lt;=3,"Short Stay",IF(airbnb_data3[[#This Row],[minimum_nights]]&lt;=7,"Medium Stay","Long Stay"))</f>
        <v>Short Stay</v>
      </c>
    </row>
    <row r="31" spans="1:19" x14ac:dyDescent="0.35">
      <c r="A31" t="s">
        <v>77</v>
      </c>
      <c r="B31" t="s">
        <v>78</v>
      </c>
      <c r="C31" t="s">
        <v>25</v>
      </c>
      <c r="D31">
        <v>42.653449999999999</v>
      </c>
      <c r="E31">
        <v>-73.764499999999998</v>
      </c>
      <c r="F31" t="s">
        <v>22</v>
      </c>
      <c r="G31">
        <v>115</v>
      </c>
      <c r="H31">
        <v>1</v>
      </c>
      <c r="I31">
        <v>996</v>
      </c>
      <c r="J31" s="1">
        <v>46173</v>
      </c>
      <c r="K31">
        <v>10.199999999999999</v>
      </c>
      <c r="L31">
        <v>1</v>
      </c>
      <c r="M31">
        <v>102</v>
      </c>
      <c r="N31">
        <v>61</v>
      </c>
      <c r="O31" t="str">
        <f t="shared" si="0"/>
        <v>101-200</v>
      </c>
      <c r="P31" t="str">
        <f>IF(airbnb_data3[[#This Row],[price]]&lt;=100,"Budget",
IF(airbnb_data3[[#This Row],[price]]&lt;=200,"Mid-range",
IF(airbnb_data3[[#This Row],[price]]&lt;=300,"Premium","Luxury")))</f>
        <v>Mid-range</v>
      </c>
      <c r="Q31" t="str">
        <f>IF(airbnb_data3[[#This Row],[availability_365]]&lt;=120,"Low Availability",IF(airbnb_data3[[#This Row],[availability_365]]&lt;=240,"Medium Availability","High Availability"))</f>
        <v>Low Availability</v>
      </c>
      <c r="R31" s="6" t="str">
        <f t="shared" si="1"/>
        <v>Medium</v>
      </c>
      <c r="S31" s="6" t="str">
        <f>IF(airbnb_data3[[#This Row],[minimum_nights]]&lt;=3,"Short Stay",IF(airbnb_data3[[#This Row],[minimum_nights]]&lt;=7,"Medium Stay","Long Stay"))</f>
        <v>Short Stay</v>
      </c>
    </row>
    <row r="32" spans="1:19" x14ac:dyDescent="0.35">
      <c r="A32" t="s">
        <v>79</v>
      </c>
      <c r="B32" t="s">
        <v>80</v>
      </c>
      <c r="C32" t="s">
        <v>25</v>
      </c>
      <c r="D32">
        <v>42.654029999999999</v>
      </c>
      <c r="E32">
        <v>-73.763249999999999</v>
      </c>
      <c r="F32" t="s">
        <v>22</v>
      </c>
      <c r="G32">
        <v>137</v>
      </c>
      <c r="H32">
        <v>2</v>
      </c>
      <c r="I32">
        <v>173</v>
      </c>
      <c r="J32" s="1">
        <v>46187</v>
      </c>
      <c r="K32">
        <v>1.81</v>
      </c>
      <c r="L32">
        <v>1</v>
      </c>
      <c r="M32">
        <v>309</v>
      </c>
      <c r="N32">
        <v>31</v>
      </c>
      <c r="O32" t="str">
        <f t="shared" si="0"/>
        <v>101-200</v>
      </c>
      <c r="P32" t="str">
        <f>IF(airbnb_data3[[#This Row],[price]]&lt;=100,"Budget",
IF(airbnb_data3[[#This Row],[price]]&lt;=200,"Mid-range",
IF(airbnb_data3[[#This Row],[price]]&lt;=300,"Premium","Luxury")))</f>
        <v>Mid-range</v>
      </c>
      <c r="Q32" t="str">
        <f>IF(airbnb_data3[[#This Row],[availability_365]]&lt;=120,"Low Availability",IF(airbnb_data3[[#This Row],[availability_365]]&lt;=240,"Medium Availability","High Availability"))</f>
        <v>High Availability</v>
      </c>
      <c r="R32" s="6" t="str">
        <f t="shared" si="1"/>
        <v>Medium</v>
      </c>
      <c r="S32" s="6" t="str">
        <f>IF(airbnb_data3[[#This Row],[minimum_nights]]&lt;=3,"Short Stay",IF(airbnb_data3[[#This Row],[minimum_nights]]&lt;=7,"Medium Stay","Long Stay"))</f>
        <v>Short Stay</v>
      </c>
    </row>
    <row r="33" spans="1:19" x14ac:dyDescent="0.35">
      <c r="A33" t="s">
        <v>81</v>
      </c>
      <c r="B33" t="s">
        <v>66</v>
      </c>
      <c r="C33" t="s">
        <v>51</v>
      </c>
      <c r="D33">
        <v>42.654308319091797</v>
      </c>
      <c r="E33">
        <v>-73.781776428222599</v>
      </c>
      <c r="F33" t="s">
        <v>31</v>
      </c>
      <c r="G33">
        <v>100</v>
      </c>
      <c r="H33">
        <v>2</v>
      </c>
      <c r="I33">
        <v>39</v>
      </c>
      <c r="J33" s="1">
        <v>46160</v>
      </c>
      <c r="K33">
        <v>0.44</v>
      </c>
      <c r="L33">
        <v>8</v>
      </c>
      <c r="M33">
        <v>296</v>
      </c>
      <c r="N33">
        <v>13</v>
      </c>
      <c r="O33" t="str">
        <f t="shared" si="0"/>
        <v>0-100</v>
      </c>
      <c r="P33" t="str">
        <f>IF(airbnb_data3[[#This Row],[price]]&lt;=100,"Budget",
IF(airbnb_data3[[#This Row],[price]]&lt;=200,"Mid-range",
IF(airbnb_data3[[#This Row],[price]]&lt;=300,"Premium","Luxury")))</f>
        <v>Budget</v>
      </c>
      <c r="Q33" t="str">
        <f>IF(airbnb_data3[[#This Row],[availability_365]]&lt;=120,"Low Availability",IF(airbnb_data3[[#This Row],[availability_365]]&lt;=240,"Medium Availability","High Availability"))</f>
        <v>High Availability</v>
      </c>
      <c r="R33" s="6" t="str">
        <f t="shared" si="1"/>
        <v>High</v>
      </c>
      <c r="S33" s="6" t="str">
        <f>IF(airbnb_data3[[#This Row],[minimum_nights]]&lt;=3,"Short Stay",IF(airbnb_data3[[#This Row],[minimum_nights]]&lt;=7,"Medium Stay","Long Stay"))</f>
        <v>Short Stay</v>
      </c>
    </row>
    <row r="34" spans="1:19" x14ac:dyDescent="0.35">
      <c r="A34" t="s">
        <v>82</v>
      </c>
      <c r="B34" t="s">
        <v>83</v>
      </c>
      <c r="C34" t="s">
        <v>84</v>
      </c>
      <c r="D34">
        <v>42.645139999999998</v>
      </c>
      <c r="E34">
        <v>-73.80668</v>
      </c>
      <c r="F34" t="s">
        <v>22</v>
      </c>
      <c r="G34">
        <v>343</v>
      </c>
      <c r="H34">
        <v>2</v>
      </c>
      <c r="I34">
        <v>17</v>
      </c>
      <c r="J34" s="1">
        <v>46159</v>
      </c>
      <c r="K34">
        <v>0.18</v>
      </c>
      <c r="L34">
        <v>1</v>
      </c>
      <c r="M34">
        <v>169</v>
      </c>
      <c r="N34">
        <v>3</v>
      </c>
      <c r="O34" t="str">
        <f t="shared" si="0"/>
        <v>301-500</v>
      </c>
      <c r="P34" t="str">
        <f>IF(airbnb_data3[[#This Row],[price]]&lt;=100,"Budget",
IF(airbnb_data3[[#This Row],[price]]&lt;=200,"Mid-range",
IF(airbnb_data3[[#This Row],[price]]&lt;=300,"Premium","Luxury")))</f>
        <v>Luxury</v>
      </c>
      <c r="Q34" t="str">
        <f>IF(airbnb_data3[[#This Row],[availability_365]]&lt;=120,"Low Availability",IF(airbnb_data3[[#This Row],[availability_365]]&lt;=240,"Medium Availability","High Availability"))</f>
        <v>Medium Availability</v>
      </c>
      <c r="R34" s="6" t="str">
        <f t="shared" si="1"/>
        <v>High</v>
      </c>
      <c r="S34" s="6" t="str">
        <f>IF(airbnb_data3[[#This Row],[minimum_nights]]&lt;=3,"Short Stay",IF(airbnb_data3[[#This Row],[minimum_nights]]&lt;=7,"Medium Stay","Long Stay"))</f>
        <v>Short Stay</v>
      </c>
    </row>
    <row r="35" spans="1:19" x14ac:dyDescent="0.35">
      <c r="A35" t="s">
        <v>85</v>
      </c>
      <c r="B35" t="s">
        <v>58</v>
      </c>
      <c r="C35" t="s">
        <v>51</v>
      </c>
      <c r="D35">
        <v>42.654640000000001</v>
      </c>
      <c r="E35">
        <v>-73.783479999999997</v>
      </c>
      <c r="F35" t="s">
        <v>31</v>
      </c>
      <c r="G35">
        <v>69</v>
      </c>
      <c r="H35">
        <v>1</v>
      </c>
      <c r="I35">
        <v>280</v>
      </c>
      <c r="J35" s="1">
        <v>46150</v>
      </c>
      <c r="K35">
        <v>3.03</v>
      </c>
      <c r="L35">
        <v>3</v>
      </c>
      <c r="M35">
        <v>224</v>
      </c>
      <c r="N35">
        <v>10</v>
      </c>
      <c r="O35" t="str">
        <f t="shared" si="0"/>
        <v>0-100</v>
      </c>
      <c r="P35" t="str">
        <f>IF(airbnb_data3[[#This Row],[price]]&lt;=100,"Budget",
IF(airbnb_data3[[#This Row],[price]]&lt;=200,"Mid-range",
IF(airbnb_data3[[#This Row],[price]]&lt;=300,"Premium","Luxury")))</f>
        <v>Budget</v>
      </c>
      <c r="Q35" t="str">
        <f>IF(airbnb_data3[[#This Row],[availability_365]]&lt;=120,"Low Availability",IF(airbnb_data3[[#This Row],[availability_365]]&lt;=240,"Medium Availability","High Availability"))</f>
        <v>Medium Availability</v>
      </c>
      <c r="R35" s="6" t="str">
        <f t="shared" si="1"/>
        <v>High</v>
      </c>
      <c r="S35" s="6" t="str">
        <f>IF(airbnb_data3[[#This Row],[minimum_nights]]&lt;=3,"Short Stay",IF(airbnb_data3[[#This Row],[minimum_nights]]&lt;=7,"Medium Stay","Long Stay"))</f>
        <v>Short Stay</v>
      </c>
    </row>
    <row r="36" spans="1:19" x14ac:dyDescent="0.35">
      <c r="A36" t="s">
        <v>86</v>
      </c>
      <c r="B36" t="s">
        <v>87</v>
      </c>
      <c r="C36" t="s">
        <v>28</v>
      </c>
      <c r="D36">
        <v>42.645350000000001</v>
      </c>
      <c r="E36">
        <v>-73.753649999999993</v>
      </c>
      <c r="F36" t="s">
        <v>22</v>
      </c>
      <c r="G36">
        <v>142</v>
      </c>
      <c r="H36">
        <v>1</v>
      </c>
      <c r="I36">
        <v>749</v>
      </c>
      <c r="J36" s="1">
        <v>46182</v>
      </c>
      <c r="K36">
        <v>8.14</v>
      </c>
      <c r="L36">
        <v>11</v>
      </c>
      <c r="M36">
        <v>353</v>
      </c>
      <c r="N36">
        <v>57</v>
      </c>
      <c r="O36" t="str">
        <f t="shared" si="0"/>
        <v>101-200</v>
      </c>
      <c r="P36" t="str">
        <f>IF(airbnb_data3[[#This Row],[price]]&lt;=100,"Budget",
IF(airbnb_data3[[#This Row],[price]]&lt;=200,"Mid-range",
IF(airbnb_data3[[#This Row],[price]]&lt;=300,"Premium","Luxury")))</f>
        <v>Mid-range</v>
      </c>
      <c r="Q36" t="str">
        <f>IF(airbnb_data3[[#This Row],[availability_365]]&lt;=120,"Low Availability",IF(airbnb_data3[[#This Row],[availability_365]]&lt;=240,"Medium Availability","High Availability"))</f>
        <v>High Availability</v>
      </c>
      <c r="R36" s="6" t="str">
        <f t="shared" si="1"/>
        <v>Medium</v>
      </c>
      <c r="S36" s="6" t="str">
        <f>IF(airbnb_data3[[#This Row],[minimum_nights]]&lt;=3,"Short Stay",IF(airbnb_data3[[#This Row],[minimum_nights]]&lt;=7,"Medium Stay","Long Stay"))</f>
        <v>Short Stay</v>
      </c>
    </row>
    <row r="37" spans="1:19" x14ac:dyDescent="0.35">
      <c r="A37" t="s">
        <v>88</v>
      </c>
      <c r="B37" t="s">
        <v>87</v>
      </c>
      <c r="C37" t="s">
        <v>28</v>
      </c>
      <c r="D37">
        <v>42.645350000000001</v>
      </c>
      <c r="E37">
        <v>-73.753649999999993</v>
      </c>
      <c r="F37" t="s">
        <v>22</v>
      </c>
      <c r="G37">
        <v>119</v>
      </c>
      <c r="H37">
        <v>1</v>
      </c>
      <c r="I37">
        <v>692</v>
      </c>
      <c r="J37" s="1">
        <v>46175</v>
      </c>
      <c r="K37">
        <v>7.57</v>
      </c>
      <c r="L37">
        <v>11</v>
      </c>
      <c r="M37">
        <v>338</v>
      </c>
      <c r="N37">
        <v>61</v>
      </c>
      <c r="O37" t="str">
        <f t="shared" si="0"/>
        <v>101-200</v>
      </c>
      <c r="P37" t="str">
        <f>IF(airbnb_data3[[#This Row],[price]]&lt;=100,"Budget",
IF(airbnb_data3[[#This Row],[price]]&lt;=200,"Mid-range",
IF(airbnb_data3[[#This Row],[price]]&lt;=300,"Premium","Luxury")))</f>
        <v>Mid-range</v>
      </c>
      <c r="Q37" t="str">
        <f>IF(airbnb_data3[[#This Row],[availability_365]]&lt;=120,"Low Availability",IF(airbnb_data3[[#This Row],[availability_365]]&lt;=240,"Medium Availability","High Availability"))</f>
        <v>High Availability</v>
      </c>
      <c r="R37" s="6" t="str">
        <f t="shared" si="1"/>
        <v>High</v>
      </c>
      <c r="S37" s="6" t="str">
        <f>IF(airbnb_data3[[#This Row],[minimum_nights]]&lt;=3,"Short Stay",IF(airbnb_data3[[#This Row],[minimum_nights]]&lt;=7,"Medium Stay","Long Stay"))</f>
        <v>Short Stay</v>
      </c>
    </row>
    <row r="38" spans="1:19" ht="72.5" x14ac:dyDescent="0.35">
      <c r="A38" s="2" t="s">
        <v>89</v>
      </c>
      <c r="B38" t="s">
        <v>90</v>
      </c>
      <c r="C38" t="s">
        <v>91</v>
      </c>
      <c r="D38">
        <v>42.673699999999997</v>
      </c>
      <c r="E38">
        <v>-73.753129999999999</v>
      </c>
      <c r="F38" t="s">
        <v>31</v>
      </c>
      <c r="G38">
        <v>195</v>
      </c>
      <c r="H38">
        <v>1</v>
      </c>
      <c r="I38">
        <v>9</v>
      </c>
      <c r="J38" s="1">
        <v>46159</v>
      </c>
      <c r="K38">
        <v>0.1</v>
      </c>
      <c r="L38">
        <v>1</v>
      </c>
      <c r="M38">
        <v>149</v>
      </c>
      <c r="N38">
        <v>2</v>
      </c>
      <c r="O38" t="str">
        <f t="shared" si="0"/>
        <v>101-200</v>
      </c>
      <c r="P38" t="str">
        <f>IF(airbnb_data3[[#This Row],[price]]&lt;=100,"Budget",
IF(airbnb_data3[[#This Row],[price]]&lt;=200,"Mid-range",
IF(airbnb_data3[[#This Row],[price]]&lt;=300,"Premium","Luxury")))</f>
        <v>Mid-range</v>
      </c>
      <c r="Q38" t="str">
        <f>IF(airbnb_data3[[#This Row],[availability_365]]&lt;=120,"Low Availability",IF(airbnb_data3[[#This Row],[availability_365]]&lt;=240,"Medium Availability","High Availability"))</f>
        <v>Medium Availability</v>
      </c>
      <c r="R38" s="6" t="str">
        <f t="shared" si="1"/>
        <v>Medium</v>
      </c>
      <c r="S38" s="6" t="str">
        <f>IF(airbnb_data3[[#This Row],[minimum_nights]]&lt;=3,"Short Stay",IF(airbnb_data3[[#This Row],[minimum_nights]]&lt;=7,"Medium Stay","Long Stay"))</f>
        <v>Short Stay</v>
      </c>
    </row>
    <row r="39" spans="1:19" x14ac:dyDescent="0.35">
      <c r="A39" t="s">
        <v>92</v>
      </c>
      <c r="B39" t="s">
        <v>24</v>
      </c>
      <c r="C39" t="s">
        <v>25</v>
      </c>
      <c r="D39">
        <v>42.652349999999998</v>
      </c>
      <c r="E39">
        <v>-73.767139999999998</v>
      </c>
      <c r="F39" t="s">
        <v>22</v>
      </c>
      <c r="G39">
        <v>186</v>
      </c>
      <c r="H39">
        <v>1</v>
      </c>
      <c r="I39">
        <v>137</v>
      </c>
      <c r="J39" s="1">
        <v>46144</v>
      </c>
      <c r="K39">
        <v>1.48</v>
      </c>
      <c r="L39">
        <v>7</v>
      </c>
      <c r="M39">
        <v>357</v>
      </c>
      <c r="N39">
        <v>30</v>
      </c>
      <c r="O39" t="str">
        <f t="shared" si="0"/>
        <v>101-200</v>
      </c>
      <c r="P39" t="str">
        <f>IF(airbnb_data3[[#This Row],[price]]&lt;=100,"Budget",
IF(airbnb_data3[[#This Row],[price]]&lt;=200,"Mid-range",
IF(airbnb_data3[[#This Row],[price]]&lt;=300,"Premium","Luxury")))</f>
        <v>Mid-range</v>
      </c>
      <c r="Q39" t="str">
        <f>IF(airbnb_data3[[#This Row],[availability_365]]&lt;=120,"Low Availability",IF(airbnb_data3[[#This Row],[availability_365]]&lt;=240,"Medium Availability","High Availability"))</f>
        <v>High Availability</v>
      </c>
      <c r="R39" s="6" t="str">
        <f t="shared" si="1"/>
        <v>Medium</v>
      </c>
      <c r="S39" s="6" t="str">
        <f>IF(airbnb_data3[[#This Row],[minimum_nights]]&lt;=3,"Short Stay",IF(airbnb_data3[[#This Row],[minimum_nights]]&lt;=7,"Medium Stay","Long Stay"))</f>
        <v>Short Stay</v>
      </c>
    </row>
    <row r="40" spans="1:19" x14ac:dyDescent="0.35">
      <c r="A40" t="s">
        <v>93</v>
      </c>
      <c r="B40" t="s">
        <v>66</v>
      </c>
      <c r="C40" t="s">
        <v>51</v>
      </c>
      <c r="D40">
        <v>42.653300000000002</v>
      </c>
      <c r="E40">
        <v>-73.781139999999994</v>
      </c>
      <c r="F40" t="s">
        <v>31</v>
      </c>
      <c r="G40">
        <v>100</v>
      </c>
      <c r="H40">
        <v>2</v>
      </c>
      <c r="I40">
        <v>78</v>
      </c>
      <c r="J40" s="1">
        <v>46142</v>
      </c>
      <c r="K40">
        <v>0.87</v>
      </c>
      <c r="L40">
        <v>8</v>
      </c>
      <c r="M40">
        <v>225</v>
      </c>
      <c r="N40">
        <v>10</v>
      </c>
      <c r="O40" t="str">
        <f t="shared" si="0"/>
        <v>0-100</v>
      </c>
      <c r="P40" t="str">
        <f>IF(airbnb_data3[[#This Row],[price]]&lt;=100,"Budget",
IF(airbnb_data3[[#This Row],[price]]&lt;=200,"Mid-range",
IF(airbnb_data3[[#This Row],[price]]&lt;=300,"Premium","Luxury")))</f>
        <v>Budget</v>
      </c>
      <c r="Q40" t="str">
        <f>IF(airbnb_data3[[#This Row],[availability_365]]&lt;=120,"Low Availability",IF(airbnb_data3[[#This Row],[availability_365]]&lt;=240,"Medium Availability","High Availability"))</f>
        <v>Medium Availability</v>
      </c>
      <c r="R40" s="6" t="str">
        <f t="shared" si="1"/>
        <v>High</v>
      </c>
      <c r="S40" s="6" t="str">
        <f>IF(airbnb_data3[[#This Row],[minimum_nights]]&lt;=3,"Short Stay",IF(airbnb_data3[[#This Row],[minimum_nights]]&lt;=7,"Medium Stay","Long Stay"))</f>
        <v>Short Stay</v>
      </c>
    </row>
    <row r="41" spans="1:19" x14ac:dyDescent="0.35">
      <c r="A41" t="s">
        <v>96</v>
      </c>
      <c r="B41" t="s">
        <v>97</v>
      </c>
      <c r="C41" t="s">
        <v>91</v>
      </c>
      <c r="D41">
        <v>42.676099999999998</v>
      </c>
      <c r="E41">
        <v>-73.738249999999994</v>
      </c>
      <c r="F41" t="s">
        <v>31</v>
      </c>
      <c r="G41">
        <v>203</v>
      </c>
      <c r="H41">
        <v>3</v>
      </c>
      <c r="I41">
        <v>1</v>
      </c>
      <c r="J41" s="1">
        <v>45593</v>
      </c>
      <c r="K41">
        <v>0.05</v>
      </c>
      <c r="L41">
        <v>1</v>
      </c>
      <c r="M41">
        <v>270</v>
      </c>
      <c r="N41">
        <v>0</v>
      </c>
      <c r="O41" t="str">
        <f t="shared" si="0"/>
        <v>201-300</v>
      </c>
      <c r="P41" t="str">
        <f>IF(airbnb_data3[[#This Row],[price]]&lt;=100,"Budget",
IF(airbnb_data3[[#This Row],[price]]&lt;=200,"Mid-range",
IF(airbnb_data3[[#This Row],[price]]&lt;=300,"Premium","Luxury")))</f>
        <v>Premium</v>
      </c>
      <c r="Q41" t="str">
        <f>IF(airbnb_data3[[#This Row],[availability_365]]&lt;=120,"Low Availability",IF(airbnb_data3[[#This Row],[availability_365]]&lt;=240,"Medium Availability","High Availability"))</f>
        <v>High Availability</v>
      </c>
      <c r="R41" s="6" t="str">
        <f t="shared" si="1"/>
        <v>High</v>
      </c>
      <c r="S41" s="6" t="str">
        <f>IF(airbnb_data3[[#This Row],[minimum_nights]]&lt;=3,"Short Stay",IF(airbnb_data3[[#This Row],[minimum_nights]]&lt;=7,"Medium Stay","Long Stay"))</f>
        <v>Short Stay</v>
      </c>
    </row>
    <row r="42" spans="1:19" x14ac:dyDescent="0.35">
      <c r="A42" t="s">
        <v>98</v>
      </c>
      <c r="B42" t="s">
        <v>87</v>
      </c>
      <c r="C42" t="s">
        <v>28</v>
      </c>
      <c r="D42">
        <v>42.645629999999997</v>
      </c>
      <c r="E42">
        <v>-73.753110000000007</v>
      </c>
      <c r="F42" t="s">
        <v>22</v>
      </c>
      <c r="G42">
        <v>188</v>
      </c>
      <c r="H42">
        <v>1</v>
      </c>
      <c r="I42">
        <v>488</v>
      </c>
      <c r="J42" s="1">
        <v>46179</v>
      </c>
      <c r="K42">
        <v>5.53</v>
      </c>
      <c r="L42">
        <v>11</v>
      </c>
      <c r="M42">
        <v>348</v>
      </c>
      <c r="N42">
        <v>36</v>
      </c>
      <c r="O42" t="str">
        <f t="shared" si="0"/>
        <v>101-200</v>
      </c>
      <c r="P42" t="str">
        <f>IF(airbnb_data3[[#This Row],[price]]&lt;=100,"Budget",
IF(airbnb_data3[[#This Row],[price]]&lt;=200,"Mid-range",
IF(airbnb_data3[[#This Row],[price]]&lt;=300,"Premium","Luxury")))</f>
        <v>Mid-range</v>
      </c>
      <c r="Q42" t="str">
        <f>IF(airbnb_data3[[#This Row],[availability_365]]&lt;=120,"Low Availability",IF(airbnb_data3[[#This Row],[availability_365]]&lt;=240,"Medium Availability","High Availability"))</f>
        <v>High Availability</v>
      </c>
      <c r="R42" s="6" t="str">
        <f t="shared" si="1"/>
        <v>High</v>
      </c>
      <c r="S42" s="6" t="str">
        <f>IF(airbnb_data3[[#This Row],[minimum_nights]]&lt;=3,"Short Stay",IF(airbnb_data3[[#This Row],[minimum_nights]]&lt;=7,"Medium Stay","Long Stay"))</f>
        <v>Short Stay</v>
      </c>
    </row>
    <row r="43" spans="1:19" x14ac:dyDescent="0.35">
      <c r="A43" t="s">
        <v>99</v>
      </c>
      <c r="B43" t="s">
        <v>87</v>
      </c>
      <c r="C43" t="s">
        <v>28</v>
      </c>
      <c r="D43">
        <v>42.645850000000003</v>
      </c>
      <c r="E43">
        <v>-73.752970000000005</v>
      </c>
      <c r="F43" t="s">
        <v>22</v>
      </c>
      <c r="G43">
        <v>186</v>
      </c>
      <c r="H43">
        <v>1</v>
      </c>
      <c r="I43">
        <v>505</v>
      </c>
      <c r="J43" s="1">
        <v>46166</v>
      </c>
      <c r="K43">
        <v>5.79</v>
      </c>
      <c r="L43">
        <v>11</v>
      </c>
      <c r="M43">
        <v>350</v>
      </c>
      <c r="N43">
        <v>42</v>
      </c>
      <c r="O43" t="str">
        <f t="shared" si="0"/>
        <v>101-200</v>
      </c>
      <c r="P43" t="str">
        <f>IF(airbnb_data3[[#This Row],[price]]&lt;=100,"Budget",
IF(airbnb_data3[[#This Row],[price]]&lt;=200,"Mid-range",
IF(airbnb_data3[[#This Row],[price]]&lt;=300,"Premium","Luxury")))</f>
        <v>Mid-range</v>
      </c>
      <c r="Q43" t="str">
        <f>IF(airbnb_data3[[#This Row],[availability_365]]&lt;=120,"Low Availability",IF(airbnb_data3[[#This Row],[availability_365]]&lt;=240,"Medium Availability","High Availability"))</f>
        <v>High Availability</v>
      </c>
      <c r="R43" s="6" t="str">
        <f t="shared" si="1"/>
        <v>High</v>
      </c>
      <c r="S43" s="6" t="str">
        <f>IF(airbnb_data3[[#This Row],[minimum_nights]]&lt;=3,"Short Stay",IF(airbnb_data3[[#This Row],[minimum_nights]]&lt;=7,"Medium Stay","Long Stay"))</f>
        <v>Short Stay</v>
      </c>
    </row>
    <row r="44" spans="1:19" x14ac:dyDescent="0.35">
      <c r="A44" t="s">
        <v>100</v>
      </c>
      <c r="B44" t="s">
        <v>58</v>
      </c>
      <c r="C44" t="s">
        <v>64</v>
      </c>
      <c r="D44">
        <v>42.652589999999996</v>
      </c>
      <c r="E44">
        <v>-73.782229999999998</v>
      </c>
      <c r="F44" t="s">
        <v>31</v>
      </c>
      <c r="G44">
        <v>69</v>
      </c>
      <c r="H44">
        <v>1</v>
      </c>
      <c r="I44">
        <v>224</v>
      </c>
      <c r="J44" s="1">
        <v>46113</v>
      </c>
      <c r="K44">
        <v>2.65</v>
      </c>
      <c r="L44">
        <v>3</v>
      </c>
      <c r="M44">
        <v>228</v>
      </c>
      <c r="N44">
        <v>26</v>
      </c>
      <c r="O44" t="str">
        <f t="shared" si="0"/>
        <v>0-100</v>
      </c>
      <c r="P44" t="str">
        <f>IF(airbnb_data3[[#This Row],[price]]&lt;=100,"Budget",
IF(airbnb_data3[[#This Row],[price]]&lt;=200,"Mid-range",
IF(airbnb_data3[[#This Row],[price]]&lt;=300,"Premium","Luxury")))</f>
        <v>Budget</v>
      </c>
      <c r="Q44" t="str">
        <f>IF(airbnb_data3[[#This Row],[availability_365]]&lt;=120,"Low Availability",IF(airbnb_data3[[#This Row],[availability_365]]&lt;=240,"Medium Availability","High Availability"))</f>
        <v>Medium Availability</v>
      </c>
      <c r="R44" s="6" t="str">
        <f t="shared" si="1"/>
        <v>Medium</v>
      </c>
      <c r="S44" s="6" t="str">
        <f>IF(airbnb_data3[[#This Row],[minimum_nights]]&lt;=3,"Short Stay",IF(airbnb_data3[[#This Row],[minimum_nights]]&lt;=7,"Medium Stay","Long Stay"))</f>
        <v>Short Stay</v>
      </c>
    </row>
    <row r="45" spans="1:19" x14ac:dyDescent="0.35">
      <c r="A45" t="s">
        <v>101</v>
      </c>
      <c r="B45" t="s">
        <v>95</v>
      </c>
      <c r="C45" t="s">
        <v>28</v>
      </c>
      <c r="D45">
        <v>42.645060000000001</v>
      </c>
      <c r="E45">
        <v>-73.757270000000005</v>
      </c>
      <c r="F45" t="s">
        <v>22</v>
      </c>
      <c r="G45">
        <v>145</v>
      </c>
      <c r="H45">
        <v>2</v>
      </c>
      <c r="I45">
        <v>336</v>
      </c>
      <c r="J45" s="1">
        <v>46172</v>
      </c>
      <c r="K45">
        <v>3.97</v>
      </c>
      <c r="L45">
        <v>14</v>
      </c>
      <c r="M45">
        <v>73</v>
      </c>
      <c r="N45">
        <v>25</v>
      </c>
      <c r="O45" t="str">
        <f t="shared" si="0"/>
        <v>101-200</v>
      </c>
      <c r="P45" t="str">
        <f>IF(airbnb_data3[[#This Row],[price]]&lt;=100,"Budget",
IF(airbnb_data3[[#This Row],[price]]&lt;=200,"Mid-range",
IF(airbnb_data3[[#This Row],[price]]&lt;=300,"Premium","Luxury")))</f>
        <v>Mid-range</v>
      </c>
      <c r="Q45" t="str">
        <f>IF(airbnb_data3[[#This Row],[availability_365]]&lt;=120,"Low Availability",IF(airbnb_data3[[#This Row],[availability_365]]&lt;=240,"Medium Availability","High Availability"))</f>
        <v>Low Availability</v>
      </c>
      <c r="R45" s="6" t="str">
        <f t="shared" si="1"/>
        <v>High</v>
      </c>
      <c r="S45" s="6" t="str">
        <f>IF(airbnb_data3[[#This Row],[minimum_nights]]&lt;=3,"Short Stay",IF(airbnb_data3[[#This Row],[minimum_nights]]&lt;=7,"Medium Stay","Long Stay"))</f>
        <v>Short Stay</v>
      </c>
    </row>
    <row r="46" spans="1:19" x14ac:dyDescent="0.35">
      <c r="A46" t="s">
        <v>102</v>
      </c>
      <c r="B46" t="s">
        <v>33</v>
      </c>
      <c r="C46" t="s">
        <v>68</v>
      </c>
      <c r="D46">
        <v>42.66619</v>
      </c>
      <c r="E46">
        <v>-73.790310000000005</v>
      </c>
      <c r="F46" t="s">
        <v>22</v>
      </c>
      <c r="G46">
        <v>97</v>
      </c>
      <c r="H46">
        <v>30</v>
      </c>
      <c r="I46">
        <v>54</v>
      </c>
      <c r="J46" s="1">
        <v>45518</v>
      </c>
      <c r="K46">
        <v>0.64</v>
      </c>
      <c r="L46">
        <v>11</v>
      </c>
      <c r="M46">
        <v>365</v>
      </c>
      <c r="N46">
        <v>0</v>
      </c>
      <c r="O46" t="str">
        <f t="shared" si="0"/>
        <v>0-100</v>
      </c>
      <c r="P46" t="str">
        <f>IF(airbnb_data3[[#This Row],[price]]&lt;=100,"Budget",
IF(airbnb_data3[[#This Row],[price]]&lt;=200,"Mid-range",
IF(airbnb_data3[[#This Row],[price]]&lt;=300,"Premium","Luxury")))</f>
        <v>Budget</v>
      </c>
      <c r="Q46" t="str">
        <f>IF(airbnb_data3[[#This Row],[availability_365]]&lt;=120,"Low Availability",IF(airbnb_data3[[#This Row],[availability_365]]&lt;=240,"Medium Availability","High Availability"))</f>
        <v>High Availability</v>
      </c>
      <c r="R46" s="6" t="str">
        <f t="shared" si="1"/>
        <v>Medium</v>
      </c>
      <c r="S46" s="6" t="str">
        <f>IF(airbnb_data3[[#This Row],[minimum_nights]]&lt;=3,"Short Stay",IF(airbnb_data3[[#This Row],[minimum_nights]]&lt;=7,"Medium Stay","Long Stay"))</f>
        <v>Long Stay</v>
      </c>
    </row>
    <row r="47" spans="1:19" x14ac:dyDescent="0.35">
      <c r="A47" t="s">
        <v>103</v>
      </c>
      <c r="B47" t="s">
        <v>95</v>
      </c>
      <c r="C47" t="s">
        <v>84</v>
      </c>
      <c r="D47">
        <v>42.650849999999998</v>
      </c>
      <c r="E47">
        <v>-73.802390000000003</v>
      </c>
      <c r="F47" t="s">
        <v>31</v>
      </c>
      <c r="G47">
        <v>75</v>
      </c>
      <c r="H47">
        <v>1</v>
      </c>
      <c r="I47">
        <v>490</v>
      </c>
      <c r="J47" s="1">
        <v>46187</v>
      </c>
      <c r="K47">
        <v>5.95</v>
      </c>
      <c r="L47">
        <v>2</v>
      </c>
      <c r="M47">
        <v>236</v>
      </c>
      <c r="N47">
        <v>65</v>
      </c>
      <c r="O47" t="str">
        <f t="shared" si="0"/>
        <v>0-100</v>
      </c>
      <c r="P47" t="str">
        <f>IF(airbnb_data3[[#This Row],[price]]&lt;=100,"Budget",
IF(airbnb_data3[[#This Row],[price]]&lt;=200,"Mid-range",
IF(airbnb_data3[[#This Row],[price]]&lt;=300,"Premium","Luxury")))</f>
        <v>Budget</v>
      </c>
      <c r="Q47" t="str">
        <f>IF(airbnb_data3[[#This Row],[availability_365]]&lt;=120,"Low Availability",IF(airbnb_data3[[#This Row],[availability_365]]&lt;=240,"Medium Availability","High Availability"))</f>
        <v>Medium Availability</v>
      </c>
      <c r="R47" s="6" t="str">
        <f t="shared" si="1"/>
        <v>Medium</v>
      </c>
      <c r="S47" s="6" t="str">
        <f>IF(airbnb_data3[[#This Row],[minimum_nights]]&lt;=3,"Short Stay",IF(airbnb_data3[[#This Row],[minimum_nights]]&lt;=7,"Medium Stay","Long Stay"))</f>
        <v>Short Stay</v>
      </c>
    </row>
    <row r="48" spans="1:19" x14ac:dyDescent="0.35">
      <c r="A48" t="s">
        <v>104</v>
      </c>
      <c r="B48" t="s">
        <v>105</v>
      </c>
      <c r="C48" t="s">
        <v>25</v>
      </c>
      <c r="D48">
        <v>42.655070000000002</v>
      </c>
      <c r="E48">
        <v>-73.761380000000003</v>
      </c>
      <c r="F48" t="s">
        <v>22</v>
      </c>
      <c r="G48">
        <v>230</v>
      </c>
      <c r="H48">
        <v>1</v>
      </c>
      <c r="I48">
        <v>57</v>
      </c>
      <c r="J48" s="1">
        <v>46131</v>
      </c>
      <c r="K48">
        <v>0.72</v>
      </c>
      <c r="L48">
        <v>4</v>
      </c>
      <c r="M48">
        <v>306</v>
      </c>
      <c r="N48">
        <v>11</v>
      </c>
      <c r="O48" t="str">
        <f t="shared" si="0"/>
        <v>201-300</v>
      </c>
      <c r="P48" t="str">
        <f>IF(airbnb_data3[[#This Row],[price]]&lt;=100,"Budget",
IF(airbnb_data3[[#This Row],[price]]&lt;=200,"Mid-range",
IF(airbnb_data3[[#This Row],[price]]&lt;=300,"Premium","Luxury")))</f>
        <v>Premium</v>
      </c>
      <c r="Q48" t="str">
        <f>IF(airbnb_data3[[#This Row],[availability_365]]&lt;=120,"Low Availability",IF(airbnb_data3[[#This Row],[availability_365]]&lt;=240,"Medium Availability","High Availability"))</f>
        <v>High Availability</v>
      </c>
      <c r="R48" s="6" t="str">
        <f t="shared" si="1"/>
        <v>High</v>
      </c>
      <c r="S48" s="6" t="str">
        <f>IF(airbnb_data3[[#This Row],[minimum_nights]]&lt;=3,"Short Stay",IF(airbnb_data3[[#This Row],[minimum_nights]]&lt;=7,"Medium Stay","Long Stay"))</f>
        <v>Short Stay</v>
      </c>
    </row>
    <row r="49" spans="1:19" x14ac:dyDescent="0.35">
      <c r="A49" t="s">
        <v>106</v>
      </c>
      <c r="B49" t="s">
        <v>33</v>
      </c>
      <c r="C49" t="s">
        <v>51</v>
      </c>
      <c r="D49">
        <v>42.654829999999997</v>
      </c>
      <c r="E49">
        <v>-73.780330000000006</v>
      </c>
      <c r="F49" t="s">
        <v>22</v>
      </c>
      <c r="G49">
        <v>132</v>
      </c>
      <c r="H49">
        <v>5</v>
      </c>
      <c r="I49">
        <v>25</v>
      </c>
      <c r="J49" s="1">
        <v>46119</v>
      </c>
      <c r="K49">
        <v>0.31</v>
      </c>
      <c r="L49">
        <v>11</v>
      </c>
      <c r="M49">
        <v>269</v>
      </c>
      <c r="N49">
        <v>1</v>
      </c>
      <c r="O49" t="str">
        <f t="shared" si="0"/>
        <v>101-200</v>
      </c>
      <c r="P49" t="str">
        <f>IF(airbnb_data3[[#This Row],[price]]&lt;=100,"Budget",
IF(airbnb_data3[[#This Row],[price]]&lt;=200,"Mid-range",
IF(airbnb_data3[[#This Row],[price]]&lt;=300,"Premium","Luxury")))</f>
        <v>Mid-range</v>
      </c>
      <c r="Q49" t="str">
        <f>IF(airbnb_data3[[#This Row],[availability_365]]&lt;=120,"Low Availability",IF(airbnb_data3[[#This Row],[availability_365]]&lt;=240,"Medium Availability","High Availability"))</f>
        <v>High Availability</v>
      </c>
      <c r="R49" s="6" t="str">
        <f t="shared" si="1"/>
        <v>High</v>
      </c>
      <c r="S49" s="6" t="str">
        <f>IF(airbnb_data3[[#This Row],[minimum_nights]]&lt;=3,"Short Stay",IF(airbnb_data3[[#This Row],[minimum_nights]]&lt;=7,"Medium Stay","Long Stay"))</f>
        <v>Medium Stay</v>
      </c>
    </row>
    <row r="50" spans="1:19" x14ac:dyDescent="0.35">
      <c r="A50" t="s">
        <v>107</v>
      </c>
      <c r="B50" t="s">
        <v>108</v>
      </c>
      <c r="C50" t="s">
        <v>91</v>
      </c>
      <c r="D50">
        <v>42.660910000000001</v>
      </c>
      <c r="E50">
        <v>-73.742850000000004</v>
      </c>
      <c r="F50" t="s">
        <v>22</v>
      </c>
      <c r="G50">
        <v>303</v>
      </c>
      <c r="H50">
        <v>1</v>
      </c>
      <c r="I50">
        <v>247</v>
      </c>
      <c r="J50" s="1">
        <v>46138</v>
      </c>
      <c r="K50">
        <v>3.16</v>
      </c>
      <c r="L50">
        <v>1</v>
      </c>
      <c r="M50">
        <v>169</v>
      </c>
      <c r="N50">
        <v>9</v>
      </c>
      <c r="O50" t="str">
        <f t="shared" si="0"/>
        <v>301-500</v>
      </c>
      <c r="P50" t="str">
        <f>IF(airbnb_data3[[#This Row],[price]]&lt;=100,"Budget",
IF(airbnb_data3[[#This Row],[price]]&lt;=200,"Mid-range",
IF(airbnb_data3[[#This Row],[price]]&lt;=300,"Premium","Luxury")))</f>
        <v>Luxury</v>
      </c>
      <c r="Q50" t="str">
        <f>IF(airbnb_data3[[#This Row],[availability_365]]&lt;=120,"Low Availability",IF(airbnb_data3[[#This Row],[availability_365]]&lt;=240,"Medium Availability","High Availability"))</f>
        <v>Medium Availability</v>
      </c>
      <c r="R50" s="6" t="str">
        <f t="shared" si="1"/>
        <v>High</v>
      </c>
      <c r="S50" s="6" t="str">
        <f>IF(airbnb_data3[[#This Row],[minimum_nights]]&lt;=3,"Short Stay",IF(airbnb_data3[[#This Row],[minimum_nights]]&lt;=7,"Medium Stay","Long Stay"))</f>
        <v>Short Stay</v>
      </c>
    </row>
    <row r="51" spans="1:19" x14ac:dyDescent="0.35">
      <c r="A51" t="s">
        <v>109</v>
      </c>
      <c r="B51" t="s">
        <v>72</v>
      </c>
      <c r="C51" t="s">
        <v>68</v>
      </c>
      <c r="D51">
        <v>42.66827</v>
      </c>
      <c r="E51">
        <v>-73.792310000000001</v>
      </c>
      <c r="F51" t="s">
        <v>22</v>
      </c>
      <c r="G51">
        <v>137</v>
      </c>
      <c r="H51">
        <v>3</v>
      </c>
      <c r="I51">
        <v>147</v>
      </c>
      <c r="J51" s="1">
        <v>46159</v>
      </c>
      <c r="K51">
        <v>1.85</v>
      </c>
      <c r="L51">
        <v>9</v>
      </c>
      <c r="M51">
        <v>254</v>
      </c>
      <c r="N51">
        <v>16</v>
      </c>
      <c r="O51" t="str">
        <f t="shared" si="0"/>
        <v>101-200</v>
      </c>
      <c r="P51" t="str">
        <f>IF(airbnb_data3[[#This Row],[price]]&lt;=100,"Budget",
IF(airbnb_data3[[#This Row],[price]]&lt;=200,"Mid-range",
IF(airbnb_data3[[#This Row],[price]]&lt;=300,"Premium","Luxury")))</f>
        <v>Mid-range</v>
      </c>
      <c r="Q51" t="str">
        <f>IF(airbnb_data3[[#This Row],[availability_365]]&lt;=120,"Low Availability",IF(airbnb_data3[[#This Row],[availability_365]]&lt;=240,"Medium Availability","High Availability"))</f>
        <v>High Availability</v>
      </c>
      <c r="R51" s="6" t="str">
        <f t="shared" si="1"/>
        <v>Medium</v>
      </c>
      <c r="S51" s="6" t="str">
        <f>IF(airbnb_data3[[#This Row],[minimum_nights]]&lt;=3,"Short Stay",IF(airbnb_data3[[#This Row],[minimum_nights]]&lt;=7,"Medium Stay","Long Stay"))</f>
        <v>Short Stay</v>
      </c>
    </row>
    <row r="52" spans="1:19" x14ac:dyDescent="0.35">
      <c r="A52" t="s">
        <v>110</v>
      </c>
      <c r="B52" t="s">
        <v>111</v>
      </c>
      <c r="C52" t="s">
        <v>91</v>
      </c>
      <c r="D52">
        <v>42.677729999999997</v>
      </c>
      <c r="E52">
        <v>-73.738990000000001</v>
      </c>
      <c r="F52" t="s">
        <v>22</v>
      </c>
      <c r="G52">
        <v>177</v>
      </c>
      <c r="H52">
        <v>1</v>
      </c>
      <c r="I52">
        <v>175</v>
      </c>
      <c r="J52" s="1">
        <v>46184</v>
      </c>
      <c r="K52">
        <v>2.2400000000000002</v>
      </c>
      <c r="L52">
        <v>1</v>
      </c>
      <c r="M52">
        <v>224</v>
      </c>
      <c r="N52">
        <v>2</v>
      </c>
      <c r="O52" t="str">
        <f t="shared" si="0"/>
        <v>101-200</v>
      </c>
      <c r="P52" t="str">
        <f>IF(airbnb_data3[[#This Row],[price]]&lt;=100,"Budget",
IF(airbnb_data3[[#This Row],[price]]&lt;=200,"Mid-range",
IF(airbnb_data3[[#This Row],[price]]&lt;=300,"Premium","Luxury")))</f>
        <v>Mid-range</v>
      </c>
      <c r="Q52" t="str">
        <f>IF(airbnb_data3[[#This Row],[availability_365]]&lt;=120,"Low Availability",IF(airbnb_data3[[#This Row],[availability_365]]&lt;=240,"Medium Availability","High Availability"))</f>
        <v>Medium Availability</v>
      </c>
      <c r="R52" s="6" t="str">
        <f t="shared" si="1"/>
        <v>Medium</v>
      </c>
      <c r="S52" s="6" t="str">
        <f>IF(airbnb_data3[[#This Row],[minimum_nights]]&lt;=3,"Short Stay",IF(airbnb_data3[[#This Row],[minimum_nights]]&lt;=7,"Medium Stay","Long Stay"))</f>
        <v>Short Stay</v>
      </c>
    </row>
    <row r="53" spans="1:19" x14ac:dyDescent="0.35">
      <c r="A53" t="s">
        <v>112</v>
      </c>
      <c r="B53" t="s">
        <v>33</v>
      </c>
      <c r="C53" t="s">
        <v>25</v>
      </c>
      <c r="D53">
        <v>42.653149999999997</v>
      </c>
      <c r="E53">
        <v>-73.762020000000007</v>
      </c>
      <c r="F53" t="s">
        <v>22</v>
      </c>
      <c r="G53">
        <v>132</v>
      </c>
      <c r="H53">
        <v>7</v>
      </c>
      <c r="I53">
        <v>25</v>
      </c>
      <c r="J53" s="1">
        <v>45815</v>
      </c>
      <c r="K53">
        <v>0.32</v>
      </c>
      <c r="L53">
        <v>11</v>
      </c>
      <c r="M53">
        <v>360</v>
      </c>
      <c r="N53">
        <v>0</v>
      </c>
      <c r="O53" t="str">
        <f t="shared" si="0"/>
        <v>101-200</v>
      </c>
      <c r="P53" t="str">
        <f>IF(airbnb_data3[[#This Row],[price]]&lt;=100,"Budget",
IF(airbnb_data3[[#This Row],[price]]&lt;=200,"Mid-range",
IF(airbnb_data3[[#This Row],[price]]&lt;=300,"Premium","Luxury")))</f>
        <v>Mid-range</v>
      </c>
      <c r="Q53" t="str">
        <f>IF(airbnb_data3[[#This Row],[availability_365]]&lt;=120,"Low Availability",IF(airbnb_data3[[#This Row],[availability_365]]&lt;=240,"Medium Availability","High Availability"))</f>
        <v>High Availability</v>
      </c>
      <c r="R53" s="6" t="str">
        <f t="shared" si="1"/>
        <v>High</v>
      </c>
      <c r="S53" s="6" t="str">
        <f>IF(airbnb_data3[[#This Row],[minimum_nights]]&lt;=3,"Short Stay",IF(airbnb_data3[[#This Row],[minimum_nights]]&lt;=7,"Medium Stay","Long Stay"))</f>
        <v>Medium Stay</v>
      </c>
    </row>
    <row r="54" spans="1:19" x14ac:dyDescent="0.35">
      <c r="A54" t="s">
        <v>113</v>
      </c>
      <c r="B54" t="s">
        <v>114</v>
      </c>
      <c r="C54" t="s">
        <v>51</v>
      </c>
      <c r="D54">
        <v>42.655670000000001</v>
      </c>
      <c r="E54">
        <v>-73.785399999999996</v>
      </c>
      <c r="F54" t="s">
        <v>22</v>
      </c>
      <c r="G54">
        <v>78</v>
      </c>
      <c r="H54">
        <v>70</v>
      </c>
      <c r="I54">
        <v>0</v>
      </c>
      <c r="K54">
        <v>0</v>
      </c>
      <c r="L54">
        <v>1</v>
      </c>
      <c r="M54">
        <v>365</v>
      </c>
      <c r="N54">
        <v>0</v>
      </c>
      <c r="O54" t="str">
        <f t="shared" si="0"/>
        <v>0-100</v>
      </c>
      <c r="P54" t="str">
        <f>IF(airbnb_data3[[#This Row],[price]]&lt;=100,"Budget",
IF(airbnb_data3[[#This Row],[price]]&lt;=200,"Mid-range",
IF(airbnb_data3[[#This Row],[price]]&lt;=300,"Premium","Luxury")))</f>
        <v>Budget</v>
      </c>
      <c r="Q54" t="str">
        <f>IF(airbnb_data3[[#This Row],[availability_365]]&lt;=120,"Low Availability",IF(airbnb_data3[[#This Row],[availability_365]]&lt;=240,"Medium Availability","High Availability"))</f>
        <v>High Availability</v>
      </c>
      <c r="R54" s="6" t="str">
        <f t="shared" si="1"/>
        <v>High</v>
      </c>
      <c r="S54" s="6" t="str">
        <f>IF(airbnb_data3[[#This Row],[minimum_nights]]&lt;=3,"Short Stay",IF(airbnb_data3[[#This Row],[minimum_nights]]&lt;=7,"Medium Stay","Long Stay"))</f>
        <v>Long Stay</v>
      </c>
    </row>
    <row r="55" spans="1:19" x14ac:dyDescent="0.35">
      <c r="A55" t="s">
        <v>115</v>
      </c>
      <c r="B55" t="s">
        <v>116</v>
      </c>
      <c r="C55" t="s">
        <v>117</v>
      </c>
      <c r="D55">
        <v>42.638759999999998</v>
      </c>
      <c r="E55">
        <v>-73.785349999999994</v>
      </c>
      <c r="F55" t="s">
        <v>22</v>
      </c>
      <c r="G55">
        <v>294</v>
      </c>
      <c r="H55">
        <v>1</v>
      </c>
      <c r="I55">
        <v>142</v>
      </c>
      <c r="J55" s="1">
        <v>46177</v>
      </c>
      <c r="K55">
        <v>1.9</v>
      </c>
      <c r="L55">
        <v>1</v>
      </c>
      <c r="M55">
        <v>140</v>
      </c>
      <c r="N55">
        <v>24</v>
      </c>
      <c r="O55" t="str">
        <f t="shared" si="0"/>
        <v>201-300</v>
      </c>
      <c r="P55" t="str">
        <f>IF(airbnb_data3[[#This Row],[price]]&lt;=100,"Budget",
IF(airbnb_data3[[#This Row],[price]]&lt;=200,"Mid-range",
IF(airbnb_data3[[#This Row],[price]]&lt;=300,"Premium","Luxury")))</f>
        <v>Premium</v>
      </c>
      <c r="Q55" t="str">
        <f>IF(airbnb_data3[[#This Row],[availability_365]]&lt;=120,"Low Availability",IF(airbnb_data3[[#This Row],[availability_365]]&lt;=240,"Medium Availability","High Availability"))</f>
        <v>Medium Availability</v>
      </c>
      <c r="R55" s="6" t="str">
        <f t="shared" si="1"/>
        <v>Medium</v>
      </c>
      <c r="S55" s="6" t="str">
        <f>IF(airbnb_data3[[#This Row],[minimum_nights]]&lt;=3,"Short Stay",IF(airbnb_data3[[#This Row],[minimum_nights]]&lt;=7,"Medium Stay","Long Stay"))</f>
        <v>Short Stay</v>
      </c>
    </row>
    <row r="56" spans="1:19" x14ac:dyDescent="0.35">
      <c r="A56" t="s">
        <v>118</v>
      </c>
      <c r="B56" t="s">
        <v>119</v>
      </c>
      <c r="C56" t="s">
        <v>28</v>
      </c>
      <c r="D56">
        <v>42.644530000000003</v>
      </c>
      <c r="E56">
        <v>-73.754260000000002</v>
      </c>
      <c r="F56" t="s">
        <v>22</v>
      </c>
      <c r="G56">
        <v>293</v>
      </c>
      <c r="H56">
        <v>1</v>
      </c>
      <c r="I56">
        <v>134</v>
      </c>
      <c r="J56" s="1">
        <v>46180</v>
      </c>
      <c r="K56">
        <v>1.92</v>
      </c>
      <c r="L56">
        <v>3</v>
      </c>
      <c r="M56">
        <v>74</v>
      </c>
      <c r="N56">
        <v>19</v>
      </c>
      <c r="O56" t="str">
        <f t="shared" si="0"/>
        <v>201-300</v>
      </c>
      <c r="P56" t="str">
        <f>IF(airbnb_data3[[#This Row],[price]]&lt;=100,"Budget",
IF(airbnb_data3[[#This Row],[price]]&lt;=200,"Mid-range",
IF(airbnb_data3[[#This Row],[price]]&lt;=300,"Premium","Luxury")))</f>
        <v>Premium</v>
      </c>
      <c r="Q56" t="str">
        <f>IF(airbnb_data3[[#This Row],[availability_365]]&lt;=120,"Low Availability",IF(airbnb_data3[[#This Row],[availability_365]]&lt;=240,"Medium Availability","High Availability"))</f>
        <v>Low Availability</v>
      </c>
      <c r="R56" s="6" t="str">
        <f t="shared" si="1"/>
        <v>Medium</v>
      </c>
      <c r="S56" s="6" t="str">
        <f>IF(airbnb_data3[[#This Row],[minimum_nights]]&lt;=3,"Short Stay",IF(airbnb_data3[[#This Row],[minimum_nights]]&lt;=7,"Medium Stay","Long Stay"))</f>
        <v>Short Stay</v>
      </c>
    </row>
    <row r="57" spans="1:19" x14ac:dyDescent="0.35">
      <c r="A57" t="s">
        <v>120</v>
      </c>
      <c r="B57" t="s">
        <v>105</v>
      </c>
      <c r="C57" t="s">
        <v>25</v>
      </c>
      <c r="D57">
        <v>42.655560000000001</v>
      </c>
      <c r="E57">
        <v>-73.762050000000002</v>
      </c>
      <c r="F57" t="s">
        <v>22</v>
      </c>
      <c r="G57">
        <v>301</v>
      </c>
      <c r="H57">
        <v>1</v>
      </c>
      <c r="I57">
        <v>24</v>
      </c>
      <c r="J57" s="1">
        <v>46002</v>
      </c>
      <c r="K57">
        <v>0.37</v>
      </c>
      <c r="L57">
        <v>4</v>
      </c>
      <c r="M57">
        <v>365</v>
      </c>
      <c r="N57">
        <v>6</v>
      </c>
      <c r="O57" t="str">
        <f t="shared" si="0"/>
        <v>301-500</v>
      </c>
      <c r="P57" t="str">
        <f>IF(airbnb_data3[[#This Row],[price]]&lt;=100,"Budget",
IF(airbnb_data3[[#This Row],[price]]&lt;=200,"Mid-range",
IF(airbnb_data3[[#This Row],[price]]&lt;=300,"Premium","Luxury")))</f>
        <v>Luxury</v>
      </c>
      <c r="Q57" t="str">
        <f>IF(airbnb_data3[[#This Row],[availability_365]]&lt;=120,"Low Availability",IF(airbnb_data3[[#This Row],[availability_365]]&lt;=240,"Medium Availability","High Availability"))</f>
        <v>High Availability</v>
      </c>
      <c r="R57" s="6" t="str">
        <f t="shared" si="1"/>
        <v>High</v>
      </c>
      <c r="S57" s="6" t="str">
        <f>IF(airbnb_data3[[#This Row],[minimum_nights]]&lt;=3,"Short Stay",IF(airbnb_data3[[#This Row],[minimum_nights]]&lt;=7,"Medium Stay","Long Stay"))</f>
        <v>Short Stay</v>
      </c>
    </row>
    <row r="58" spans="1:19" x14ac:dyDescent="0.35">
      <c r="A58" t="s">
        <v>123</v>
      </c>
      <c r="B58" t="s">
        <v>95</v>
      </c>
      <c r="C58" t="s">
        <v>84</v>
      </c>
      <c r="D58">
        <v>42.643830000000001</v>
      </c>
      <c r="E58">
        <v>-73.789259999999999</v>
      </c>
      <c r="F58" t="s">
        <v>22</v>
      </c>
      <c r="G58">
        <v>371</v>
      </c>
      <c r="H58">
        <v>2</v>
      </c>
      <c r="I58">
        <v>92</v>
      </c>
      <c r="J58" s="1">
        <v>46159</v>
      </c>
      <c r="K58">
        <v>1.27</v>
      </c>
      <c r="L58">
        <v>14</v>
      </c>
      <c r="M58">
        <v>58</v>
      </c>
      <c r="N58">
        <v>1</v>
      </c>
      <c r="O58" t="str">
        <f t="shared" si="0"/>
        <v>301-500</v>
      </c>
      <c r="P58" t="str">
        <f>IF(airbnb_data3[[#This Row],[price]]&lt;=100,"Budget",
IF(airbnb_data3[[#This Row],[price]]&lt;=200,"Mid-range",
IF(airbnb_data3[[#This Row],[price]]&lt;=300,"Premium","Luxury")))</f>
        <v>Luxury</v>
      </c>
      <c r="Q58" t="str">
        <f>IF(airbnb_data3[[#This Row],[availability_365]]&lt;=120,"Low Availability",IF(airbnb_data3[[#This Row],[availability_365]]&lt;=240,"Medium Availability","High Availability"))</f>
        <v>Low Availability</v>
      </c>
      <c r="R58" s="6" t="str">
        <f t="shared" si="1"/>
        <v>High</v>
      </c>
      <c r="S58" s="6" t="str">
        <f>IF(airbnb_data3[[#This Row],[minimum_nights]]&lt;=3,"Short Stay",IF(airbnb_data3[[#This Row],[minimum_nights]]&lt;=7,"Medium Stay","Long Stay"))</f>
        <v>Short Stay</v>
      </c>
    </row>
    <row r="59" spans="1:19" x14ac:dyDescent="0.35">
      <c r="A59" t="s">
        <v>124</v>
      </c>
      <c r="B59" t="s">
        <v>111</v>
      </c>
      <c r="C59" t="s">
        <v>25</v>
      </c>
      <c r="D59">
        <v>42.659350000000003</v>
      </c>
      <c r="E59">
        <v>-73.768050000000002</v>
      </c>
      <c r="F59" t="s">
        <v>22</v>
      </c>
      <c r="G59">
        <v>140</v>
      </c>
      <c r="H59">
        <v>1</v>
      </c>
      <c r="I59">
        <v>401</v>
      </c>
      <c r="J59" s="1">
        <v>46186</v>
      </c>
      <c r="K59">
        <v>5.57</v>
      </c>
      <c r="L59">
        <v>3</v>
      </c>
      <c r="M59">
        <v>306</v>
      </c>
      <c r="N59">
        <v>29</v>
      </c>
      <c r="O59" t="str">
        <f t="shared" si="0"/>
        <v>101-200</v>
      </c>
      <c r="P59" t="str">
        <f>IF(airbnb_data3[[#This Row],[price]]&lt;=100,"Budget",
IF(airbnb_data3[[#This Row],[price]]&lt;=200,"Mid-range",
IF(airbnb_data3[[#This Row],[price]]&lt;=300,"Premium","Luxury")))</f>
        <v>Mid-range</v>
      </c>
      <c r="Q59" t="str">
        <f>IF(airbnb_data3[[#This Row],[availability_365]]&lt;=120,"Low Availability",IF(airbnb_data3[[#This Row],[availability_365]]&lt;=240,"Medium Availability","High Availability"))</f>
        <v>High Availability</v>
      </c>
      <c r="R59" s="6" t="str">
        <f t="shared" si="1"/>
        <v>Medium</v>
      </c>
      <c r="S59" s="6" t="str">
        <f>IF(airbnb_data3[[#This Row],[minimum_nights]]&lt;=3,"Short Stay",IF(airbnb_data3[[#This Row],[minimum_nights]]&lt;=7,"Medium Stay","Long Stay"))</f>
        <v>Short Stay</v>
      </c>
    </row>
    <row r="60" spans="1:19" x14ac:dyDescent="0.35">
      <c r="A60" t="s">
        <v>125</v>
      </c>
      <c r="B60" t="s">
        <v>111</v>
      </c>
      <c r="C60" t="s">
        <v>25</v>
      </c>
      <c r="D60">
        <v>42.660060000000001</v>
      </c>
      <c r="E60">
        <v>-73.769660000000002</v>
      </c>
      <c r="F60" t="s">
        <v>22</v>
      </c>
      <c r="G60">
        <v>159</v>
      </c>
      <c r="H60">
        <v>1</v>
      </c>
      <c r="I60">
        <v>330</v>
      </c>
      <c r="J60" s="1">
        <v>46179</v>
      </c>
      <c r="K60">
        <v>4.6100000000000003</v>
      </c>
      <c r="L60">
        <v>3</v>
      </c>
      <c r="M60">
        <v>320</v>
      </c>
      <c r="N60">
        <v>28</v>
      </c>
      <c r="O60" t="str">
        <f t="shared" si="0"/>
        <v>101-200</v>
      </c>
      <c r="P60" t="str">
        <f>IF(airbnb_data3[[#This Row],[price]]&lt;=100,"Budget",
IF(airbnb_data3[[#This Row],[price]]&lt;=200,"Mid-range",
IF(airbnb_data3[[#This Row],[price]]&lt;=300,"Premium","Luxury")))</f>
        <v>Mid-range</v>
      </c>
      <c r="Q60" t="str">
        <f>IF(airbnb_data3[[#This Row],[availability_365]]&lt;=120,"Low Availability",IF(airbnb_data3[[#This Row],[availability_365]]&lt;=240,"Medium Availability","High Availability"))</f>
        <v>High Availability</v>
      </c>
      <c r="R60" s="6" t="str">
        <f t="shared" si="1"/>
        <v>High</v>
      </c>
      <c r="S60" s="6" t="str">
        <f>IF(airbnb_data3[[#This Row],[minimum_nights]]&lt;=3,"Short Stay",IF(airbnb_data3[[#This Row],[minimum_nights]]&lt;=7,"Medium Stay","Long Stay"))</f>
        <v>Short Stay</v>
      </c>
    </row>
    <row r="61" spans="1:19" x14ac:dyDescent="0.35">
      <c r="A61" t="s">
        <v>126</v>
      </c>
      <c r="B61" t="s">
        <v>127</v>
      </c>
      <c r="C61" t="s">
        <v>84</v>
      </c>
      <c r="D61">
        <v>42.64808</v>
      </c>
      <c r="E61">
        <v>-73.799599999999998</v>
      </c>
      <c r="F61" t="s">
        <v>22</v>
      </c>
      <c r="G61">
        <v>174</v>
      </c>
      <c r="H61">
        <v>13</v>
      </c>
      <c r="I61">
        <v>28</v>
      </c>
      <c r="J61" s="1">
        <v>46125</v>
      </c>
      <c r="K61">
        <v>0.4</v>
      </c>
      <c r="L61">
        <v>6</v>
      </c>
      <c r="M61">
        <v>242</v>
      </c>
      <c r="N61">
        <v>2</v>
      </c>
      <c r="O61" t="str">
        <f t="shared" si="0"/>
        <v>101-200</v>
      </c>
      <c r="P61" t="str">
        <f>IF(airbnb_data3[[#This Row],[price]]&lt;=100,"Budget",
IF(airbnb_data3[[#This Row],[price]]&lt;=200,"Mid-range",
IF(airbnb_data3[[#This Row],[price]]&lt;=300,"Premium","Luxury")))</f>
        <v>Mid-range</v>
      </c>
      <c r="Q61" t="str">
        <f>IF(airbnb_data3[[#This Row],[availability_365]]&lt;=120,"Low Availability",IF(airbnb_data3[[#This Row],[availability_365]]&lt;=240,"Medium Availability","High Availability"))</f>
        <v>High Availability</v>
      </c>
      <c r="R61" s="6" t="str">
        <f t="shared" si="1"/>
        <v>Medium</v>
      </c>
      <c r="S61" s="6" t="str">
        <f>IF(airbnb_data3[[#This Row],[minimum_nights]]&lt;=3,"Short Stay",IF(airbnb_data3[[#This Row],[minimum_nights]]&lt;=7,"Medium Stay","Long Stay"))</f>
        <v>Long Stay</v>
      </c>
    </row>
    <row r="62" spans="1:19" x14ac:dyDescent="0.35">
      <c r="A62" t="s">
        <v>128</v>
      </c>
      <c r="B62" t="s">
        <v>129</v>
      </c>
      <c r="C62" t="s">
        <v>34</v>
      </c>
      <c r="D62">
        <v>42.661320000000003</v>
      </c>
      <c r="E62">
        <v>-73.795599999999993</v>
      </c>
      <c r="F62" t="s">
        <v>22</v>
      </c>
      <c r="G62">
        <v>168</v>
      </c>
      <c r="H62">
        <v>1</v>
      </c>
      <c r="I62">
        <v>134</v>
      </c>
      <c r="J62" s="1">
        <v>46180</v>
      </c>
      <c r="K62">
        <v>1.9</v>
      </c>
      <c r="L62">
        <v>1</v>
      </c>
      <c r="M62">
        <v>358</v>
      </c>
      <c r="N62">
        <v>5</v>
      </c>
      <c r="O62" t="str">
        <f t="shared" si="0"/>
        <v>101-200</v>
      </c>
      <c r="P62" t="str">
        <f>IF(airbnb_data3[[#This Row],[price]]&lt;=100,"Budget",
IF(airbnb_data3[[#This Row],[price]]&lt;=200,"Mid-range",
IF(airbnb_data3[[#This Row],[price]]&lt;=300,"Premium","Luxury")))</f>
        <v>Mid-range</v>
      </c>
      <c r="Q62" t="str">
        <f>IF(airbnb_data3[[#This Row],[availability_365]]&lt;=120,"Low Availability",IF(airbnb_data3[[#This Row],[availability_365]]&lt;=240,"Medium Availability","High Availability"))</f>
        <v>High Availability</v>
      </c>
      <c r="R62" s="6" t="str">
        <f t="shared" si="1"/>
        <v>High</v>
      </c>
      <c r="S62" s="6" t="str">
        <f>IF(airbnb_data3[[#This Row],[minimum_nights]]&lt;=3,"Short Stay",IF(airbnb_data3[[#This Row],[minimum_nights]]&lt;=7,"Medium Stay","Long Stay"))</f>
        <v>Short Stay</v>
      </c>
    </row>
    <row r="63" spans="1:19" x14ac:dyDescent="0.35">
      <c r="A63" t="s">
        <v>130</v>
      </c>
      <c r="B63" t="s">
        <v>119</v>
      </c>
      <c r="C63" t="s">
        <v>28</v>
      </c>
      <c r="D63">
        <v>42.644539999999999</v>
      </c>
      <c r="E63">
        <v>-73.753690000000006</v>
      </c>
      <c r="F63" t="s">
        <v>22</v>
      </c>
      <c r="G63">
        <v>166</v>
      </c>
      <c r="H63">
        <v>1</v>
      </c>
      <c r="I63">
        <v>57</v>
      </c>
      <c r="J63" s="1">
        <v>46187</v>
      </c>
      <c r="K63">
        <v>0.99</v>
      </c>
      <c r="L63">
        <v>3</v>
      </c>
      <c r="M63">
        <v>73</v>
      </c>
      <c r="N63">
        <v>17</v>
      </c>
      <c r="O63" t="str">
        <f t="shared" si="0"/>
        <v>101-200</v>
      </c>
      <c r="P63" t="str">
        <f>IF(airbnb_data3[[#This Row],[price]]&lt;=100,"Budget",
IF(airbnb_data3[[#This Row],[price]]&lt;=200,"Mid-range",
IF(airbnb_data3[[#This Row],[price]]&lt;=300,"Premium","Luxury")))</f>
        <v>Mid-range</v>
      </c>
      <c r="Q63" t="str">
        <f>IF(airbnb_data3[[#This Row],[availability_365]]&lt;=120,"Low Availability",IF(airbnb_data3[[#This Row],[availability_365]]&lt;=240,"Medium Availability","High Availability"))</f>
        <v>Low Availability</v>
      </c>
      <c r="R63" s="6" t="str">
        <f t="shared" si="1"/>
        <v>High</v>
      </c>
      <c r="S63" s="6" t="str">
        <f>IF(airbnb_data3[[#This Row],[minimum_nights]]&lt;=3,"Short Stay",IF(airbnb_data3[[#This Row],[minimum_nights]]&lt;=7,"Medium Stay","Long Stay"))</f>
        <v>Short Stay</v>
      </c>
    </row>
    <row r="64" spans="1:19" x14ac:dyDescent="0.35">
      <c r="A64" t="s">
        <v>131</v>
      </c>
      <c r="B64" t="s">
        <v>132</v>
      </c>
      <c r="C64" t="s">
        <v>28</v>
      </c>
      <c r="D64">
        <v>42.648009999999999</v>
      </c>
      <c r="E64">
        <v>-73.756680000000003</v>
      </c>
      <c r="F64" t="s">
        <v>22</v>
      </c>
      <c r="G64">
        <v>217</v>
      </c>
      <c r="H64">
        <v>1</v>
      </c>
      <c r="I64">
        <v>102</v>
      </c>
      <c r="J64" s="1">
        <v>46124</v>
      </c>
      <c r="K64">
        <v>1.56</v>
      </c>
      <c r="L64">
        <v>16</v>
      </c>
      <c r="M64">
        <v>185</v>
      </c>
      <c r="N64">
        <v>3</v>
      </c>
      <c r="O64" t="str">
        <f t="shared" si="0"/>
        <v>201-300</v>
      </c>
      <c r="P64" t="str">
        <f>IF(airbnb_data3[[#This Row],[price]]&lt;=100,"Budget",
IF(airbnb_data3[[#This Row],[price]]&lt;=200,"Mid-range",
IF(airbnb_data3[[#This Row],[price]]&lt;=300,"Premium","Luxury")))</f>
        <v>Premium</v>
      </c>
      <c r="Q64" t="str">
        <f>IF(airbnb_data3[[#This Row],[availability_365]]&lt;=120,"Low Availability",IF(airbnb_data3[[#This Row],[availability_365]]&lt;=240,"Medium Availability","High Availability"))</f>
        <v>Medium Availability</v>
      </c>
      <c r="R64" s="6" t="str">
        <f t="shared" si="1"/>
        <v>High</v>
      </c>
      <c r="S64" s="6" t="str">
        <f>IF(airbnb_data3[[#This Row],[minimum_nights]]&lt;=3,"Short Stay",IF(airbnb_data3[[#This Row],[minimum_nights]]&lt;=7,"Medium Stay","Long Stay"))</f>
        <v>Short Stay</v>
      </c>
    </row>
    <row r="65" spans="1:19" x14ac:dyDescent="0.35">
      <c r="A65" t="s">
        <v>133</v>
      </c>
      <c r="B65" t="s">
        <v>132</v>
      </c>
      <c r="C65" t="s">
        <v>28</v>
      </c>
      <c r="D65">
        <v>42.648209999999999</v>
      </c>
      <c r="E65">
        <v>-73.757930000000002</v>
      </c>
      <c r="F65" t="s">
        <v>22</v>
      </c>
      <c r="G65">
        <v>217</v>
      </c>
      <c r="H65">
        <v>1</v>
      </c>
      <c r="I65">
        <v>132</v>
      </c>
      <c r="J65" s="1">
        <v>46079</v>
      </c>
      <c r="K65">
        <v>2.0099999999999998</v>
      </c>
      <c r="L65">
        <v>16</v>
      </c>
      <c r="M65">
        <v>330</v>
      </c>
      <c r="N65">
        <v>9</v>
      </c>
      <c r="O65" t="str">
        <f t="shared" si="0"/>
        <v>201-300</v>
      </c>
      <c r="P65" t="str">
        <f>IF(airbnb_data3[[#This Row],[price]]&lt;=100,"Budget",
IF(airbnb_data3[[#This Row],[price]]&lt;=200,"Mid-range",
IF(airbnb_data3[[#This Row],[price]]&lt;=300,"Premium","Luxury")))</f>
        <v>Premium</v>
      </c>
      <c r="Q65" t="str">
        <f>IF(airbnb_data3[[#This Row],[availability_365]]&lt;=120,"Low Availability",IF(airbnb_data3[[#This Row],[availability_365]]&lt;=240,"Medium Availability","High Availability"))</f>
        <v>High Availability</v>
      </c>
      <c r="R65" s="6" t="str">
        <f t="shared" si="1"/>
        <v>High</v>
      </c>
      <c r="S65" s="6" t="str">
        <f>IF(airbnb_data3[[#This Row],[minimum_nights]]&lt;=3,"Short Stay",IF(airbnb_data3[[#This Row],[minimum_nights]]&lt;=7,"Medium Stay","Long Stay"))</f>
        <v>Short Stay</v>
      </c>
    </row>
    <row r="66" spans="1:19" x14ac:dyDescent="0.35">
      <c r="A66" t="s">
        <v>134</v>
      </c>
      <c r="B66" t="s">
        <v>132</v>
      </c>
      <c r="C66" t="s">
        <v>28</v>
      </c>
      <c r="D66">
        <v>42.647129999999997</v>
      </c>
      <c r="E66">
        <v>-73.756280000000004</v>
      </c>
      <c r="F66" t="s">
        <v>22</v>
      </c>
      <c r="G66">
        <v>234</v>
      </c>
      <c r="H66">
        <v>1</v>
      </c>
      <c r="I66">
        <v>155</v>
      </c>
      <c r="J66" s="1">
        <v>46150</v>
      </c>
      <c r="K66">
        <v>2.37</v>
      </c>
      <c r="L66">
        <v>16</v>
      </c>
      <c r="M66">
        <v>183</v>
      </c>
      <c r="N66">
        <v>9</v>
      </c>
      <c r="O66" t="str">
        <f t="shared" ref="O66:O129" si="2">IF(G66&lt;=100,"0-100",
IF(G66&lt;=200,"101-200",
IF(G66&lt;=300,"201-300",
IF(G66&lt;=500,"301-500","500+"))))</f>
        <v>201-300</v>
      </c>
      <c r="P66" t="str">
        <f>IF(airbnb_data3[[#This Row],[price]]&lt;=100,"Budget",
IF(airbnb_data3[[#This Row],[price]]&lt;=200,"Mid-range",
IF(airbnb_data3[[#This Row],[price]]&lt;=300,"Premium","Luxury")))</f>
        <v>Premium</v>
      </c>
      <c r="Q66" t="str">
        <f>IF(airbnb_data3[[#This Row],[availability_365]]&lt;=120,"Low Availability",IF(airbnb_data3[[#This Row],[availability_365]]&lt;=240,"Medium Availability","High Availability"))</f>
        <v>Medium Availability</v>
      </c>
      <c r="R66" s="6" t="str">
        <f t="shared" ref="R66:R129" si="3">IF(R67&lt;=25,"Low",IF(I68&lt;=100,"Medium","High"))</f>
        <v>High</v>
      </c>
      <c r="S66" s="6" t="str">
        <f>IF(airbnb_data3[[#This Row],[minimum_nights]]&lt;=3,"Short Stay",IF(airbnb_data3[[#This Row],[minimum_nights]]&lt;=7,"Medium Stay","Long Stay"))</f>
        <v>Short Stay</v>
      </c>
    </row>
    <row r="67" spans="1:19" x14ac:dyDescent="0.35">
      <c r="A67" t="s">
        <v>135</v>
      </c>
      <c r="B67" t="s">
        <v>136</v>
      </c>
      <c r="C67" t="s">
        <v>51</v>
      </c>
      <c r="D67">
        <v>42.653109999999998</v>
      </c>
      <c r="E67">
        <v>-73.785250000000005</v>
      </c>
      <c r="F67" t="s">
        <v>22</v>
      </c>
      <c r="G67">
        <v>331</v>
      </c>
      <c r="H67">
        <v>1</v>
      </c>
      <c r="I67">
        <v>280</v>
      </c>
      <c r="J67" s="1">
        <v>46159</v>
      </c>
      <c r="K67">
        <v>4.29</v>
      </c>
      <c r="L67">
        <v>1</v>
      </c>
      <c r="M67">
        <v>234</v>
      </c>
      <c r="N67">
        <v>22</v>
      </c>
      <c r="O67" t="str">
        <f t="shared" si="2"/>
        <v>301-500</v>
      </c>
      <c r="P67" t="str">
        <f>IF(airbnb_data3[[#This Row],[price]]&lt;=100,"Budget",
IF(airbnb_data3[[#This Row],[price]]&lt;=200,"Mid-range",
IF(airbnb_data3[[#This Row],[price]]&lt;=300,"Premium","Luxury")))</f>
        <v>Luxury</v>
      </c>
      <c r="Q67" t="str">
        <f>IF(airbnb_data3[[#This Row],[availability_365]]&lt;=120,"Low Availability",IF(airbnb_data3[[#This Row],[availability_365]]&lt;=240,"Medium Availability","High Availability"))</f>
        <v>Medium Availability</v>
      </c>
      <c r="R67" s="6" t="str">
        <f t="shared" si="3"/>
        <v>High</v>
      </c>
      <c r="S67" s="6" t="str">
        <f>IF(airbnb_data3[[#This Row],[minimum_nights]]&lt;=3,"Short Stay",IF(airbnb_data3[[#This Row],[minimum_nights]]&lt;=7,"Medium Stay","Long Stay"))</f>
        <v>Short Stay</v>
      </c>
    </row>
    <row r="68" spans="1:19" x14ac:dyDescent="0.35">
      <c r="A68" t="s">
        <v>137</v>
      </c>
      <c r="B68" t="s">
        <v>72</v>
      </c>
      <c r="C68" t="s">
        <v>68</v>
      </c>
      <c r="D68">
        <v>42.666460000000001</v>
      </c>
      <c r="E68">
        <v>-73.791839999999993</v>
      </c>
      <c r="F68" t="s">
        <v>22</v>
      </c>
      <c r="G68">
        <v>134</v>
      </c>
      <c r="H68">
        <v>3</v>
      </c>
      <c r="I68">
        <v>121</v>
      </c>
      <c r="J68" s="1">
        <v>46163</v>
      </c>
      <c r="K68">
        <v>1.85</v>
      </c>
      <c r="L68">
        <v>9</v>
      </c>
      <c r="M68">
        <v>243</v>
      </c>
      <c r="N68">
        <v>25</v>
      </c>
      <c r="O68" t="str">
        <f t="shared" si="2"/>
        <v>101-200</v>
      </c>
      <c r="P68" t="str">
        <f>IF(airbnb_data3[[#This Row],[price]]&lt;=100,"Budget",
IF(airbnb_data3[[#This Row],[price]]&lt;=200,"Mid-range",
IF(airbnb_data3[[#This Row],[price]]&lt;=300,"Premium","Luxury")))</f>
        <v>Mid-range</v>
      </c>
      <c r="Q68" t="str">
        <f>IF(airbnb_data3[[#This Row],[availability_365]]&lt;=120,"Low Availability",IF(airbnb_data3[[#This Row],[availability_365]]&lt;=240,"Medium Availability","High Availability"))</f>
        <v>High Availability</v>
      </c>
      <c r="R68" s="6" t="str">
        <f t="shared" si="3"/>
        <v>Medium</v>
      </c>
      <c r="S68" s="6" t="str">
        <f>IF(airbnb_data3[[#This Row],[minimum_nights]]&lt;=3,"Short Stay",IF(airbnb_data3[[#This Row],[minimum_nights]]&lt;=7,"Medium Stay","Long Stay"))</f>
        <v>Short Stay</v>
      </c>
    </row>
    <row r="69" spans="1:19" x14ac:dyDescent="0.35">
      <c r="A69" t="s">
        <v>138</v>
      </c>
      <c r="B69" t="s">
        <v>24</v>
      </c>
      <c r="C69" t="s">
        <v>25</v>
      </c>
      <c r="D69">
        <v>42.653449999999999</v>
      </c>
      <c r="E69">
        <v>-73.766630000000006</v>
      </c>
      <c r="F69" t="s">
        <v>22</v>
      </c>
      <c r="G69">
        <v>180</v>
      </c>
      <c r="H69">
        <v>1</v>
      </c>
      <c r="I69">
        <v>116</v>
      </c>
      <c r="J69" s="1">
        <v>46178</v>
      </c>
      <c r="K69">
        <v>1.78</v>
      </c>
      <c r="L69">
        <v>7</v>
      </c>
      <c r="M69">
        <v>335</v>
      </c>
      <c r="N69">
        <v>51</v>
      </c>
      <c r="O69" t="str">
        <f t="shared" si="2"/>
        <v>101-200</v>
      </c>
      <c r="P69" t="str">
        <f>IF(airbnb_data3[[#This Row],[price]]&lt;=100,"Budget",
IF(airbnb_data3[[#This Row],[price]]&lt;=200,"Mid-range",
IF(airbnb_data3[[#This Row],[price]]&lt;=300,"Premium","Luxury")))</f>
        <v>Mid-range</v>
      </c>
      <c r="Q69" t="str">
        <f>IF(airbnb_data3[[#This Row],[availability_365]]&lt;=120,"Low Availability",IF(airbnb_data3[[#This Row],[availability_365]]&lt;=240,"Medium Availability","High Availability"))</f>
        <v>High Availability</v>
      </c>
      <c r="R69" s="6" t="str">
        <f t="shared" si="3"/>
        <v>High</v>
      </c>
      <c r="S69" s="6" t="str">
        <f>IF(airbnb_data3[[#This Row],[minimum_nights]]&lt;=3,"Short Stay",IF(airbnb_data3[[#This Row],[minimum_nights]]&lt;=7,"Medium Stay","Long Stay"))</f>
        <v>Short Stay</v>
      </c>
    </row>
    <row r="70" spans="1:19" x14ac:dyDescent="0.35">
      <c r="A70" t="s">
        <v>139</v>
      </c>
      <c r="B70" t="s">
        <v>72</v>
      </c>
      <c r="C70" t="s">
        <v>34</v>
      </c>
      <c r="D70">
        <v>42.671559999999999</v>
      </c>
      <c r="E70">
        <v>-73.80883</v>
      </c>
      <c r="F70" t="s">
        <v>22</v>
      </c>
      <c r="G70">
        <v>122</v>
      </c>
      <c r="H70">
        <v>3</v>
      </c>
      <c r="I70">
        <v>85</v>
      </c>
      <c r="J70" s="1">
        <v>46166</v>
      </c>
      <c r="K70">
        <v>1.31</v>
      </c>
      <c r="L70">
        <v>9</v>
      </c>
      <c r="M70">
        <v>335</v>
      </c>
      <c r="N70">
        <v>14</v>
      </c>
      <c r="O70" t="str">
        <f t="shared" si="2"/>
        <v>101-200</v>
      </c>
      <c r="P70" t="str">
        <f>IF(airbnb_data3[[#This Row],[price]]&lt;=100,"Budget",
IF(airbnb_data3[[#This Row],[price]]&lt;=200,"Mid-range",
IF(airbnb_data3[[#This Row],[price]]&lt;=300,"Premium","Luxury")))</f>
        <v>Mid-range</v>
      </c>
      <c r="Q70" t="str">
        <f>IF(airbnb_data3[[#This Row],[availability_365]]&lt;=120,"Low Availability",IF(airbnb_data3[[#This Row],[availability_365]]&lt;=240,"Medium Availability","High Availability"))</f>
        <v>High Availability</v>
      </c>
      <c r="R70" s="6" t="str">
        <f t="shared" si="3"/>
        <v>Medium</v>
      </c>
      <c r="S70" s="6" t="str">
        <f>IF(airbnb_data3[[#This Row],[minimum_nights]]&lt;=3,"Short Stay",IF(airbnb_data3[[#This Row],[minimum_nights]]&lt;=7,"Medium Stay","Long Stay"))</f>
        <v>Short Stay</v>
      </c>
    </row>
    <row r="71" spans="1:19" x14ac:dyDescent="0.35">
      <c r="A71" t="s">
        <v>140</v>
      </c>
      <c r="B71" t="s">
        <v>141</v>
      </c>
      <c r="C71" t="s">
        <v>68</v>
      </c>
      <c r="D71">
        <v>42.669199999999996</v>
      </c>
      <c r="E71">
        <v>-73.798490000000001</v>
      </c>
      <c r="F71" t="s">
        <v>31</v>
      </c>
      <c r="G71">
        <v>150</v>
      </c>
      <c r="H71">
        <v>1</v>
      </c>
      <c r="I71">
        <v>216</v>
      </c>
      <c r="J71" s="1">
        <v>46156</v>
      </c>
      <c r="K71">
        <v>3.27</v>
      </c>
      <c r="L71">
        <v>12</v>
      </c>
      <c r="M71">
        <v>2</v>
      </c>
      <c r="N71">
        <v>43</v>
      </c>
      <c r="O71" t="str">
        <f t="shared" si="2"/>
        <v>101-200</v>
      </c>
      <c r="P71" t="str">
        <f>IF(airbnb_data3[[#This Row],[price]]&lt;=100,"Budget",
IF(airbnb_data3[[#This Row],[price]]&lt;=200,"Mid-range",
IF(airbnb_data3[[#This Row],[price]]&lt;=300,"Premium","Luxury")))</f>
        <v>Mid-range</v>
      </c>
      <c r="Q71" t="str">
        <f>IF(airbnb_data3[[#This Row],[availability_365]]&lt;=120,"Low Availability",IF(airbnb_data3[[#This Row],[availability_365]]&lt;=240,"Medium Availability","High Availability"))</f>
        <v>Low Availability</v>
      </c>
      <c r="R71" s="6" t="str">
        <f t="shared" si="3"/>
        <v>High</v>
      </c>
      <c r="S71" s="6" t="str">
        <f>IF(airbnb_data3[[#This Row],[minimum_nights]]&lt;=3,"Short Stay",IF(airbnb_data3[[#This Row],[minimum_nights]]&lt;=7,"Medium Stay","Long Stay"))</f>
        <v>Short Stay</v>
      </c>
    </row>
    <row r="72" spans="1:19" x14ac:dyDescent="0.35">
      <c r="A72" t="s">
        <v>142</v>
      </c>
      <c r="B72" t="s">
        <v>105</v>
      </c>
      <c r="C72" t="s">
        <v>21</v>
      </c>
      <c r="D72">
        <v>42.655999999999999</v>
      </c>
      <c r="E72">
        <v>-73.761229999999998</v>
      </c>
      <c r="F72" t="s">
        <v>22</v>
      </c>
      <c r="G72">
        <v>198</v>
      </c>
      <c r="H72">
        <v>1</v>
      </c>
      <c r="I72">
        <v>29</v>
      </c>
      <c r="J72" s="1">
        <v>46079</v>
      </c>
      <c r="K72">
        <v>0.44</v>
      </c>
      <c r="L72">
        <v>4</v>
      </c>
      <c r="M72">
        <v>205</v>
      </c>
      <c r="N72">
        <v>8</v>
      </c>
      <c r="O72" t="str">
        <f t="shared" si="2"/>
        <v>101-200</v>
      </c>
      <c r="P72" t="str">
        <f>IF(airbnb_data3[[#This Row],[price]]&lt;=100,"Budget",
IF(airbnb_data3[[#This Row],[price]]&lt;=200,"Mid-range",
IF(airbnb_data3[[#This Row],[price]]&lt;=300,"Premium","Luxury")))</f>
        <v>Mid-range</v>
      </c>
      <c r="Q72" t="str">
        <f>IF(airbnb_data3[[#This Row],[availability_365]]&lt;=120,"Low Availability",IF(airbnb_data3[[#This Row],[availability_365]]&lt;=240,"Medium Availability","High Availability"))</f>
        <v>Medium Availability</v>
      </c>
      <c r="R72" s="6" t="str">
        <f t="shared" si="3"/>
        <v>High</v>
      </c>
      <c r="S72" s="6" t="str">
        <f>IF(airbnb_data3[[#This Row],[minimum_nights]]&lt;=3,"Short Stay",IF(airbnb_data3[[#This Row],[minimum_nights]]&lt;=7,"Medium Stay","Long Stay"))</f>
        <v>Short Stay</v>
      </c>
    </row>
    <row r="73" spans="1:19" x14ac:dyDescent="0.35">
      <c r="A73" t="s">
        <v>143</v>
      </c>
      <c r="B73" t="s">
        <v>144</v>
      </c>
      <c r="C73" t="s">
        <v>21</v>
      </c>
      <c r="D73">
        <v>42.651179999999997</v>
      </c>
      <c r="E73">
        <v>-73.752740000000003</v>
      </c>
      <c r="F73" t="s">
        <v>22</v>
      </c>
      <c r="G73">
        <v>218</v>
      </c>
      <c r="H73">
        <v>1</v>
      </c>
      <c r="I73">
        <v>190</v>
      </c>
      <c r="J73" s="1">
        <v>46155</v>
      </c>
      <c r="K73">
        <v>2.92</v>
      </c>
      <c r="L73">
        <v>2</v>
      </c>
      <c r="M73">
        <v>248</v>
      </c>
      <c r="N73">
        <v>20</v>
      </c>
      <c r="O73" t="str">
        <f t="shared" si="2"/>
        <v>201-300</v>
      </c>
      <c r="P73" t="str">
        <f>IF(airbnb_data3[[#This Row],[price]]&lt;=100,"Budget",
IF(airbnb_data3[[#This Row],[price]]&lt;=200,"Mid-range",
IF(airbnb_data3[[#This Row],[price]]&lt;=300,"Premium","Luxury")))</f>
        <v>Premium</v>
      </c>
      <c r="Q73" t="str">
        <f>IF(airbnb_data3[[#This Row],[availability_365]]&lt;=120,"Low Availability",IF(airbnb_data3[[#This Row],[availability_365]]&lt;=240,"Medium Availability","High Availability"))</f>
        <v>High Availability</v>
      </c>
      <c r="R73" s="6" t="str">
        <f t="shared" si="3"/>
        <v>High</v>
      </c>
      <c r="S73" s="6" t="str">
        <f>IF(airbnb_data3[[#This Row],[minimum_nights]]&lt;=3,"Short Stay",IF(airbnb_data3[[#This Row],[minimum_nights]]&lt;=7,"Medium Stay","Long Stay"))</f>
        <v>Short Stay</v>
      </c>
    </row>
    <row r="74" spans="1:19" x14ac:dyDescent="0.35">
      <c r="A74" t="s">
        <v>145</v>
      </c>
      <c r="B74" t="s">
        <v>122</v>
      </c>
      <c r="C74" t="s">
        <v>47</v>
      </c>
      <c r="D74">
        <v>42.662610000000001</v>
      </c>
      <c r="E74">
        <v>-73.783320000000003</v>
      </c>
      <c r="F74" t="s">
        <v>22</v>
      </c>
      <c r="G74">
        <v>265</v>
      </c>
      <c r="H74">
        <v>1</v>
      </c>
      <c r="I74">
        <v>175</v>
      </c>
      <c r="J74" s="1">
        <v>46158</v>
      </c>
      <c r="K74">
        <v>2.69</v>
      </c>
      <c r="L74">
        <v>21</v>
      </c>
      <c r="M74">
        <v>331</v>
      </c>
      <c r="N74">
        <v>8</v>
      </c>
      <c r="O74" t="str">
        <f t="shared" si="2"/>
        <v>201-300</v>
      </c>
      <c r="P74" t="str">
        <f>IF(airbnb_data3[[#This Row],[price]]&lt;=100,"Budget",
IF(airbnb_data3[[#This Row],[price]]&lt;=200,"Mid-range",
IF(airbnb_data3[[#This Row],[price]]&lt;=300,"Premium","Luxury")))</f>
        <v>Premium</v>
      </c>
      <c r="Q74" t="str">
        <f>IF(airbnb_data3[[#This Row],[availability_365]]&lt;=120,"Low Availability",IF(airbnb_data3[[#This Row],[availability_365]]&lt;=240,"Medium Availability","High Availability"))</f>
        <v>High Availability</v>
      </c>
      <c r="R74" s="6" t="str">
        <f t="shared" si="3"/>
        <v>Medium</v>
      </c>
      <c r="S74" s="6" t="str">
        <f>IF(airbnb_data3[[#This Row],[minimum_nights]]&lt;=3,"Short Stay",IF(airbnb_data3[[#This Row],[minimum_nights]]&lt;=7,"Medium Stay","Long Stay"))</f>
        <v>Short Stay</v>
      </c>
    </row>
    <row r="75" spans="1:19" x14ac:dyDescent="0.35">
      <c r="A75" t="s">
        <v>146</v>
      </c>
      <c r="B75" t="s">
        <v>144</v>
      </c>
      <c r="C75" t="s">
        <v>21</v>
      </c>
      <c r="D75">
        <v>42.649819999999998</v>
      </c>
      <c r="E75">
        <v>-73.750900000000001</v>
      </c>
      <c r="F75" t="s">
        <v>22</v>
      </c>
      <c r="G75">
        <v>276</v>
      </c>
      <c r="H75">
        <v>1</v>
      </c>
      <c r="I75">
        <v>257</v>
      </c>
      <c r="J75" s="1">
        <v>46163</v>
      </c>
      <c r="K75">
        <v>4.3499999999999996</v>
      </c>
      <c r="L75">
        <v>2</v>
      </c>
      <c r="M75">
        <v>162</v>
      </c>
      <c r="N75">
        <v>26</v>
      </c>
      <c r="O75" t="str">
        <f t="shared" si="2"/>
        <v>201-300</v>
      </c>
      <c r="P75" t="str">
        <f>IF(airbnb_data3[[#This Row],[price]]&lt;=100,"Budget",
IF(airbnb_data3[[#This Row],[price]]&lt;=200,"Mid-range",
IF(airbnb_data3[[#This Row],[price]]&lt;=300,"Premium","Luxury")))</f>
        <v>Premium</v>
      </c>
      <c r="Q75" t="str">
        <f>IF(airbnb_data3[[#This Row],[availability_365]]&lt;=120,"Low Availability",IF(airbnb_data3[[#This Row],[availability_365]]&lt;=240,"Medium Availability","High Availability"))</f>
        <v>Medium Availability</v>
      </c>
      <c r="R75" s="6" t="str">
        <f t="shared" si="3"/>
        <v>Medium</v>
      </c>
      <c r="S75" s="6" t="str">
        <f>IF(airbnb_data3[[#This Row],[minimum_nights]]&lt;=3,"Short Stay",IF(airbnb_data3[[#This Row],[minimum_nights]]&lt;=7,"Medium Stay","Long Stay"))</f>
        <v>Short Stay</v>
      </c>
    </row>
    <row r="76" spans="1:19" x14ac:dyDescent="0.35">
      <c r="A76" t="s">
        <v>147</v>
      </c>
      <c r="B76" t="s">
        <v>66</v>
      </c>
      <c r="C76" t="s">
        <v>51</v>
      </c>
      <c r="D76">
        <v>42.65399</v>
      </c>
      <c r="E76">
        <v>-73.781260000000003</v>
      </c>
      <c r="F76" t="s">
        <v>31</v>
      </c>
      <c r="G76">
        <v>86</v>
      </c>
      <c r="H76">
        <v>2</v>
      </c>
      <c r="I76">
        <v>92</v>
      </c>
      <c r="J76" s="1">
        <v>46179</v>
      </c>
      <c r="K76">
        <v>1.43</v>
      </c>
      <c r="L76">
        <v>8</v>
      </c>
      <c r="M76">
        <v>265</v>
      </c>
      <c r="N76">
        <v>14</v>
      </c>
      <c r="O76" t="str">
        <f t="shared" si="2"/>
        <v>0-100</v>
      </c>
      <c r="P76" t="str">
        <f>IF(airbnb_data3[[#This Row],[price]]&lt;=100,"Budget",
IF(airbnb_data3[[#This Row],[price]]&lt;=200,"Mid-range",
IF(airbnb_data3[[#This Row],[price]]&lt;=300,"Premium","Luxury")))</f>
        <v>Budget</v>
      </c>
      <c r="Q76" t="str">
        <f>IF(airbnb_data3[[#This Row],[availability_365]]&lt;=120,"Low Availability",IF(airbnb_data3[[#This Row],[availability_365]]&lt;=240,"Medium Availability","High Availability"))</f>
        <v>High Availability</v>
      </c>
      <c r="R76" s="6" t="str">
        <f t="shared" si="3"/>
        <v>High</v>
      </c>
      <c r="S76" s="6" t="str">
        <f>IF(airbnb_data3[[#This Row],[minimum_nights]]&lt;=3,"Short Stay",IF(airbnb_data3[[#This Row],[minimum_nights]]&lt;=7,"Medium Stay","Long Stay"))</f>
        <v>Short Stay</v>
      </c>
    </row>
    <row r="77" spans="1:19" x14ac:dyDescent="0.35">
      <c r="A77" t="s">
        <v>148</v>
      </c>
      <c r="B77" t="s">
        <v>36</v>
      </c>
      <c r="C77" t="s">
        <v>68</v>
      </c>
      <c r="D77">
        <v>42.665264129638601</v>
      </c>
      <c r="E77">
        <v>-73.786926269531193</v>
      </c>
      <c r="F77" t="s">
        <v>22</v>
      </c>
      <c r="G77">
        <v>1041</v>
      </c>
      <c r="H77">
        <v>1</v>
      </c>
      <c r="I77">
        <v>67</v>
      </c>
      <c r="J77" s="1">
        <v>46166</v>
      </c>
      <c r="K77">
        <v>1.41</v>
      </c>
      <c r="L77">
        <v>8</v>
      </c>
      <c r="M77">
        <v>339</v>
      </c>
      <c r="N77">
        <v>22</v>
      </c>
      <c r="O77" t="str">
        <f t="shared" si="2"/>
        <v>500+</v>
      </c>
      <c r="P77" t="str">
        <f>IF(airbnb_data3[[#This Row],[price]]&lt;=100,"Budget",
IF(airbnb_data3[[#This Row],[price]]&lt;=200,"Mid-range",
IF(airbnb_data3[[#This Row],[price]]&lt;=300,"Premium","Luxury")))</f>
        <v>Luxury</v>
      </c>
      <c r="Q77" t="str">
        <f>IF(airbnb_data3[[#This Row],[availability_365]]&lt;=120,"Low Availability",IF(airbnb_data3[[#This Row],[availability_365]]&lt;=240,"Medium Availability","High Availability"))</f>
        <v>High Availability</v>
      </c>
      <c r="R77" s="6" t="str">
        <f t="shared" si="3"/>
        <v>High</v>
      </c>
      <c r="S77" s="6" t="str">
        <f>IF(airbnb_data3[[#This Row],[minimum_nights]]&lt;=3,"Short Stay",IF(airbnb_data3[[#This Row],[minimum_nights]]&lt;=7,"Medium Stay","Long Stay"))</f>
        <v>Short Stay</v>
      </c>
    </row>
    <row r="78" spans="1:19" x14ac:dyDescent="0.35">
      <c r="A78" t="s">
        <v>149</v>
      </c>
      <c r="B78" t="s">
        <v>150</v>
      </c>
      <c r="C78" t="s">
        <v>25</v>
      </c>
      <c r="D78">
        <v>42.654290000000003</v>
      </c>
      <c r="E78">
        <v>-73.759860000000003</v>
      </c>
      <c r="F78" t="s">
        <v>22</v>
      </c>
      <c r="G78">
        <v>149</v>
      </c>
      <c r="H78">
        <v>2</v>
      </c>
      <c r="I78">
        <v>109</v>
      </c>
      <c r="J78" s="1">
        <v>46160</v>
      </c>
      <c r="K78">
        <v>1.85</v>
      </c>
      <c r="L78">
        <v>3</v>
      </c>
      <c r="M78">
        <v>146</v>
      </c>
      <c r="N78">
        <v>6</v>
      </c>
      <c r="O78" t="str">
        <f t="shared" si="2"/>
        <v>101-200</v>
      </c>
      <c r="P78" t="str">
        <f>IF(airbnb_data3[[#This Row],[price]]&lt;=100,"Budget",
IF(airbnb_data3[[#This Row],[price]]&lt;=200,"Mid-range",
IF(airbnb_data3[[#This Row],[price]]&lt;=300,"Premium","Luxury")))</f>
        <v>Mid-range</v>
      </c>
      <c r="Q78" t="str">
        <f>IF(airbnb_data3[[#This Row],[availability_365]]&lt;=120,"Low Availability",IF(airbnb_data3[[#This Row],[availability_365]]&lt;=240,"Medium Availability","High Availability"))</f>
        <v>Medium Availability</v>
      </c>
      <c r="R78" s="6" t="str">
        <f t="shared" si="3"/>
        <v>High</v>
      </c>
      <c r="S78" s="6" t="str">
        <f>IF(airbnb_data3[[#This Row],[minimum_nights]]&lt;=3,"Short Stay",IF(airbnb_data3[[#This Row],[minimum_nights]]&lt;=7,"Medium Stay","Long Stay"))</f>
        <v>Short Stay</v>
      </c>
    </row>
    <row r="79" spans="1:19" x14ac:dyDescent="0.35">
      <c r="A79" t="s">
        <v>151</v>
      </c>
      <c r="B79" t="s">
        <v>152</v>
      </c>
      <c r="C79" t="s">
        <v>25</v>
      </c>
      <c r="D79">
        <v>42.65157</v>
      </c>
      <c r="E79">
        <v>-73.765460000000004</v>
      </c>
      <c r="F79" t="s">
        <v>22</v>
      </c>
      <c r="G79">
        <v>127</v>
      </c>
      <c r="H79">
        <v>2</v>
      </c>
      <c r="I79">
        <v>221</v>
      </c>
      <c r="J79" s="1">
        <v>46153</v>
      </c>
      <c r="K79">
        <v>3.75</v>
      </c>
      <c r="L79">
        <v>1</v>
      </c>
      <c r="M79">
        <v>88</v>
      </c>
      <c r="N79">
        <v>30</v>
      </c>
      <c r="O79" t="str">
        <f t="shared" si="2"/>
        <v>101-200</v>
      </c>
      <c r="P79" t="str">
        <f>IF(airbnb_data3[[#This Row],[price]]&lt;=100,"Budget",
IF(airbnb_data3[[#This Row],[price]]&lt;=200,"Mid-range",
IF(airbnb_data3[[#This Row],[price]]&lt;=300,"Premium","Luxury")))</f>
        <v>Mid-range</v>
      </c>
      <c r="Q79" t="str">
        <f>IF(airbnb_data3[[#This Row],[availability_365]]&lt;=120,"Low Availability",IF(airbnb_data3[[#This Row],[availability_365]]&lt;=240,"Medium Availability","High Availability"))</f>
        <v>Low Availability</v>
      </c>
      <c r="R79" s="6" t="str">
        <f t="shared" si="3"/>
        <v>High</v>
      </c>
      <c r="S79" s="6" t="str">
        <f>IF(airbnb_data3[[#This Row],[minimum_nights]]&lt;=3,"Short Stay",IF(airbnb_data3[[#This Row],[minimum_nights]]&lt;=7,"Medium Stay","Long Stay"))</f>
        <v>Short Stay</v>
      </c>
    </row>
    <row r="80" spans="1:19" x14ac:dyDescent="0.35">
      <c r="A80" t="s">
        <v>153</v>
      </c>
      <c r="B80" t="s">
        <v>132</v>
      </c>
      <c r="C80" t="s">
        <v>91</v>
      </c>
      <c r="D80">
        <v>42.658880000000003</v>
      </c>
      <c r="E80">
        <v>-73.746729999999999</v>
      </c>
      <c r="F80" t="s">
        <v>22</v>
      </c>
      <c r="G80">
        <v>215</v>
      </c>
      <c r="H80">
        <v>1</v>
      </c>
      <c r="I80">
        <v>105</v>
      </c>
      <c r="J80" s="1">
        <v>46151</v>
      </c>
      <c r="K80">
        <v>1.72</v>
      </c>
      <c r="L80">
        <v>16</v>
      </c>
      <c r="M80">
        <v>185</v>
      </c>
      <c r="N80">
        <v>16</v>
      </c>
      <c r="O80" t="str">
        <f t="shared" si="2"/>
        <v>201-300</v>
      </c>
      <c r="P80" t="str">
        <f>IF(airbnb_data3[[#This Row],[price]]&lt;=100,"Budget",
IF(airbnb_data3[[#This Row],[price]]&lt;=200,"Mid-range",
IF(airbnb_data3[[#This Row],[price]]&lt;=300,"Premium","Luxury")))</f>
        <v>Premium</v>
      </c>
      <c r="Q80" t="str">
        <f>IF(airbnb_data3[[#This Row],[availability_365]]&lt;=120,"Low Availability",IF(airbnb_data3[[#This Row],[availability_365]]&lt;=240,"Medium Availability","High Availability"))</f>
        <v>Medium Availability</v>
      </c>
      <c r="R80" s="6" t="str">
        <f t="shared" si="3"/>
        <v>Medium</v>
      </c>
      <c r="S80" s="6" t="str">
        <f>IF(airbnb_data3[[#This Row],[minimum_nights]]&lt;=3,"Short Stay",IF(airbnb_data3[[#This Row],[minimum_nights]]&lt;=7,"Medium Stay","Long Stay"))</f>
        <v>Short Stay</v>
      </c>
    </row>
    <row r="81" spans="1:19" x14ac:dyDescent="0.35">
      <c r="A81" t="s">
        <v>154</v>
      </c>
      <c r="B81" t="s">
        <v>155</v>
      </c>
      <c r="C81" t="s">
        <v>40</v>
      </c>
      <c r="D81">
        <v>42.660339999999998</v>
      </c>
      <c r="E81">
        <v>-73.771630000000002</v>
      </c>
      <c r="F81" t="s">
        <v>22</v>
      </c>
      <c r="G81">
        <v>189</v>
      </c>
      <c r="H81">
        <v>2</v>
      </c>
      <c r="I81">
        <v>201</v>
      </c>
      <c r="J81" s="1">
        <v>46161</v>
      </c>
      <c r="K81">
        <v>3.7</v>
      </c>
      <c r="L81">
        <v>1</v>
      </c>
      <c r="M81">
        <v>318</v>
      </c>
      <c r="N81">
        <v>16</v>
      </c>
      <c r="O81" t="str">
        <f t="shared" si="2"/>
        <v>101-200</v>
      </c>
      <c r="P81" t="str">
        <f>IF(airbnb_data3[[#This Row],[price]]&lt;=100,"Budget",
IF(airbnb_data3[[#This Row],[price]]&lt;=200,"Mid-range",
IF(airbnb_data3[[#This Row],[price]]&lt;=300,"Premium","Luxury")))</f>
        <v>Mid-range</v>
      </c>
      <c r="Q81" t="str">
        <f>IF(airbnb_data3[[#This Row],[availability_365]]&lt;=120,"Low Availability",IF(airbnb_data3[[#This Row],[availability_365]]&lt;=240,"Medium Availability","High Availability"))</f>
        <v>High Availability</v>
      </c>
      <c r="R81" s="6" t="str">
        <f t="shared" si="3"/>
        <v>Medium</v>
      </c>
      <c r="S81" s="6" t="str">
        <f>IF(airbnb_data3[[#This Row],[minimum_nights]]&lt;=3,"Short Stay",IF(airbnb_data3[[#This Row],[minimum_nights]]&lt;=7,"Medium Stay","Long Stay"))</f>
        <v>Short Stay</v>
      </c>
    </row>
    <row r="82" spans="1:19" x14ac:dyDescent="0.35">
      <c r="A82" t="s">
        <v>156</v>
      </c>
      <c r="B82" t="s">
        <v>33</v>
      </c>
      <c r="C82" t="s">
        <v>25</v>
      </c>
      <c r="D82">
        <v>42.653329999999997</v>
      </c>
      <c r="E82">
        <v>-73.764020000000002</v>
      </c>
      <c r="F82" t="s">
        <v>22</v>
      </c>
      <c r="G82">
        <v>207</v>
      </c>
      <c r="H82">
        <v>3</v>
      </c>
      <c r="I82">
        <v>20</v>
      </c>
      <c r="J82" s="1">
        <v>45935</v>
      </c>
      <c r="K82">
        <v>0.33</v>
      </c>
      <c r="L82">
        <v>11</v>
      </c>
      <c r="M82">
        <v>362</v>
      </c>
      <c r="N82">
        <v>4</v>
      </c>
      <c r="O82" t="str">
        <f t="shared" si="2"/>
        <v>201-300</v>
      </c>
      <c r="P82" t="str">
        <f>IF(airbnb_data3[[#This Row],[price]]&lt;=100,"Budget",
IF(airbnb_data3[[#This Row],[price]]&lt;=200,"Mid-range",
IF(airbnb_data3[[#This Row],[price]]&lt;=300,"Premium","Luxury")))</f>
        <v>Premium</v>
      </c>
      <c r="Q82" t="str">
        <f>IF(airbnb_data3[[#This Row],[availability_365]]&lt;=120,"Low Availability",IF(airbnb_data3[[#This Row],[availability_365]]&lt;=240,"Medium Availability","High Availability"))</f>
        <v>High Availability</v>
      </c>
      <c r="R82" s="6" t="str">
        <f t="shared" si="3"/>
        <v>Medium</v>
      </c>
      <c r="S82" s="6" t="str">
        <f>IF(airbnb_data3[[#This Row],[minimum_nights]]&lt;=3,"Short Stay",IF(airbnb_data3[[#This Row],[minimum_nights]]&lt;=7,"Medium Stay","Long Stay"))</f>
        <v>Short Stay</v>
      </c>
    </row>
    <row r="83" spans="1:19" x14ac:dyDescent="0.35">
      <c r="A83" t="s">
        <v>157</v>
      </c>
      <c r="B83" t="s">
        <v>158</v>
      </c>
      <c r="C83" t="s">
        <v>37</v>
      </c>
      <c r="D83">
        <v>42.679450000000003</v>
      </c>
      <c r="E83">
        <v>-73.816469999999995</v>
      </c>
      <c r="F83" t="s">
        <v>31</v>
      </c>
      <c r="G83">
        <v>96</v>
      </c>
      <c r="H83">
        <v>3</v>
      </c>
      <c r="I83">
        <v>46</v>
      </c>
      <c r="J83" s="1">
        <v>45879</v>
      </c>
      <c r="K83">
        <v>0.8</v>
      </c>
      <c r="L83">
        <v>1</v>
      </c>
      <c r="M83">
        <v>119</v>
      </c>
      <c r="N83">
        <v>1</v>
      </c>
      <c r="O83" t="str">
        <f t="shared" si="2"/>
        <v>0-100</v>
      </c>
      <c r="P83" t="str">
        <f>IF(airbnb_data3[[#This Row],[price]]&lt;=100,"Budget",
IF(airbnb_data3[[#This Row],[price]]&lt;=200,"Mid-range",
IF(airbnb_data3[[#This Row],[price]]&lt;=300,"Premium","Luxury")))</f>
        <v>Budget</v>
      </c>
      <c r="Q83" t="str">
        <f>IF(airbnb_data3[[#This Row],[availability_365]]&lt;=120,"Low Availability",IF(airbnb_data3[[#This Row],[availability_365]]&lt;=240,"Medium Availability","High Availability"))</f>
        <v>Low Availability</v>
      </c>
      <c r="R83" s="6" t="str">
        <f t="shared" si="3"/>
        <v>High</v>
      </c>
      <c r="S83" s="6" t="str">
        <f>IF(airbnb_data3[[#This Row],[minimum_nights]]&lt;=3,"Short Stay",IF(airbnb_data3[[#This Row],[minimum_nights]]&lt;=7,"Medium Stay","Long Stay"))</f>
        <v>Short Stay</v>
      </c>
    </row>
    <row r="84" spans="1:19" x14ac:dyDescent="0.35">
      <c r="A84" t="s">
        <v>159</v>
      </c>
      <c r="B84" t="s">
        <v>132</v>
      </c>
      <c r="C84" t="s">
        <v>91</v>
      </c>
      <c r="D84">
        <v>42.659010000000002</v>
      </c>
      <c r="E84">
        <v>-73.747479999999996</v>
      </c>
      <c r="F84" t="s">
        <v>22</v>
      </c>
      <c r="G84">
        <v>217</v>
      </c>
      <c r="H84">
        <v>1</v>
      </c>
      <c r="I84">
        <v>47</v>
      </c>
      <c r="J84" s="1">
        <v>46041</v>
      </c>
      <c r="K84">
        <v>0.79</v>
      </c>
      <c r="L84">
        <v>16</v>
      </c>
      <c r="M84">
        <v>194</v>
      </c>
      <c r="N84">
        <v>2</v>
      </c>
      <c r="O84" t="str">
        <f t="shared" si="2"/>
        <v>201-300</v>
      </c>
      <c r="P84" t="str">
        <f>IF(airbnb_data3[[#This Row],[price]]&lt;=100,"Budget",
IF(airbnb_data3[[#This Row],[price]]&lt;=200,"Mid-range",
IF(airbnb_data3[[#This Row],[price]]&lt;=300,"Premium","Luxury")))</f>
        <v>Premium</v>
      </c>
      <c r="Q84" t="str">
        <f>IF(airbnb_data3[[#This Row],[availability_365]]&lt;=120,"Low Availability",IF(airbnb_data3[[#This Row],[availability_365]]&lt;=240,"Medium Availability","High Availability"))</f>
        <v>Medium Availability</v>
      </c>
      <c r="R84" s="6" t="str">
        <f t="shared" si="3"/>
        <v>Medium</v>
      </c>
      <c r="S84" s="6" t="str">
        <f>IF(airbnb_data3[[#This Row],[minimum_nights]]&lt;=3,"Short Stay",IF(airbnb_data3[[#This Row],[minimum_nights]]&lt;=7,"Medium Stay","Long Stay"))</f>
        <v>Short Stay</v>
      </c>
    </row>
    <row r="85" spans="1:19" x14ac:dyDescent="0.35">
      <c r="A85" t="s">
        <v>160</v>
      </c>
      <c r="B85" t="s">
        <v>161</v>
      </c>
      <c r="C85" t="s">
        <v>21</v>
      </c>
      <c r="D85">
        <v>42.660640000000001</v>
      </c>
      <c r="E85">
        <v>-73.760739999999998</v>
      </c>
      <c r="F85" t="s">
        <v>22</v>
      </c>
      <c r="G85">
        <v>112</v>
      </c>
      <c r="H85">
        <v>1</v>
      </c>
      <c r="I85">
        <v>278</v>
      </c>
      <c r="J85" s="1">
        <v>45974</v>
      </c>
      <c r="K85">
        <v>4.6500000000000004</v>
      </c>
      <c r="L85">
        <v>1</v>
      </c>
      <c r="M85">
        <v>125</v>
      </c>
      <c r="N85">
        <v>23</v>
      </c>
      <c r="O85" t="str">
        <f t="shared" si="2"/>
        <v>101-200</v>
      </c>
      <c r="P85" t="str">
        <f>IF(airbnb_data3[[#This Row],[price]]&lt;=100,"Budget",
IF(airbnb_data3[[#This Row],[price]]&lt;=200,"Mid-range",
IF(airbnb_data3[[#This Row],[price]]&lt;=300,"Premium","Luxury")))</f>
        <v>Mid-range</v>
      </c>
      <c r="Q85" t="str">
        <f>IF(airbnb_data3[[#This Row],[availability_365]]&lt;=120,"Low Availability",IF(airbnb_data3[[#This Row],[availability_365]]&lt;=240,"Medium Availability","High Availability"))</f>
        <v>Medium Availability</v>
      </c>
      <c r="R85" s="6" t="str">
        <f t="shared" si="3"/>
        <v>Medium</v>
      </c>
      <c r="S85" s="6" t="str">
        <f>IF(airbnb_data3[[#This Row],[minimum_nights]]&lt;=3,"Short Stay",IF(airbnb_data3[[#This Row],[minimum_nights]]&lt;=7,"Medium Stay","Long Stay"))</f>
        <v>Short Stay</v>
      </c>
    </row>
    <row r="86" spans="1:19" x14ac:dyDescent="0.35">
      <c r="A86" t="s">
        <v>162</v>
      </c>
      <c r="B86" t="s">
        <v>163</v>
      </c>
      <c r="C86" t="s">
        <v>47</v>
      </c>
      <c r="D86">
        <v>42.659689999999998</v>
      </c>
      <c r="E86">
        <v>-73.775639999999996</v>
      </c>
      <c r="F86" t="s">
        <v>22</v>
      </c>
      <c r="G86">
        <v>126</v>
      </c>
      <c r="H86">
        <v>1</v>
      </c>
      <c r="I86">
        <v>32</v>
      </c>
      <c r="J86" s="1">
        <v>46112</v>
      </c>
      <c r="K86">
        <v>0.56999999999999995</v>
      </c>
      <c r="L86">
        <v>1</v>
      </c>
      <c r="M86">
        <v>146</v>
      </c>
      <c r="N86">
        <v>3</v>
      </c>
      <c r="O86" t="str">
        <f t="shared" si="2"/>
        <v>101-200</v>
      </c>
      <c r="P86" t="str">
        <f>IF(airbnb_data3[[#This Row],[price]]&lt;=100,"Budget",
IF(airbnb_data3[[#This Row],[price]]&lt;=200,"Mid-range",
IF(airbnb_data3[[#This Row],[price]]&lt;=300,"Premium","Luxury")))</f>
        <v>Mid-range</v>
      </c>
      <c r="Q86" t="str">
        <f>IF(airbnb_data3[[#This Row],[availability_365]]&lt;=120,"Low Availability",IF(airbnb_data3[[#This Row],[availability_365]]&lt;=240,"Medium Availability","High Availability"))</f>
        <v>Medium Availability</v>
      </c>
      <c r="R86" s="6" t="str">
        <f t="shared" si="3"/>
        <v>Medium</v>
      </c>
      <c r="S86" s="6" t="str">
        <f>IF(airbnb_data3[[#This Row],[minimum_nights]]&lt;=3,"Short Stay",IF(airbnb_data3[[#This Row],[minimum_nights]]&lt;=7,"Medium Stay","Long Stay"))</f>
        <v>Short Stay</v>
      </c>
    </row>
    <row r="87" spans="1:19" x14ac:dyDescent="0.35">
      <c r="A87" t="s">
        <v>164</v>
      </c>
      <c r="B87" t="s">
        <v>132</v>
      </c>
      <c r="C87" t="s">
        <v>91</v>
      </c>
      <c r="D87">
        <v>42.658560000000001</v>
      </c>
      <c r="E87">
        <v>-73.748660000000001</v>
      </c>
      <c r="F87" t="s">
        <v>22</v>
      </c>
      <c r="G87">
        <v>166</v>
      </c>
      <c r="H87">
        <v>1</v>
      </c>
      <c r="I87">
        <v>89</v>
      </c>
      <c r="J87" s="1">
        <v>46159</v>
      </c>
      <c r="K87">
        <v>1.51</v>
      </c>
      <c r="L87">
        <v>16</v>
      </c>
      <c r="M87">
        <v>131</v>
      </c>
      <c r="N87">
        <v>10</v>
      </c>
      <c r="O87" t="str">
        <f t="shared" si="2"/>
        <v>101-200</v>
      </c>
      <c r="P87" t="str">
        <f>IF(airbnb_data3[[#This Row],[price]]&lt;=100,"Budget",
IF(airbnb_data3[[#This Row],[price]]&lt;=200,"Mid-range",
IF(airbnb_data3[[#This Row],[price]]&lt;=300,"Premium","Luxury")))</f>
        <v>Mid-range</v>
      </c>
      <c r="Q87" t="str">
        <f>IF(airbnb_data3[[#This Row],[availability_365]]&lt;=120,"Low Availability",IF(airbnb_data3[[#This Row],[availability_365]]&lt;=240,"Medium Availability","High Availability"))</f>
        <v>Medium Availability</v>
      </c>
      <c r="R87" s="6" t="str">
        <f t="shared" si="3"/>
        <v>Medium</v>
      </c>
      <c r="S87" s="6" t="str">
        <f>IF(airbnb_data3[[#This Row],[minimum_nights]]&lt;=3,"Short Stay",IF(airbnb_data3[[#This Row],[minimum_nights]]&lt;=7,"Medium Stay","Long Stay"))</f>
        <v>Short Stay</v>
      </c>
    </row>
    <row r="88" spans="1:19" x14ac:dyDescent="0.35">
      <c r="A88" t="s">
        <v>165</v>
      </c>
      <c r="B88" t="s">
        <v>166</v>
      </c>
      <c r="C88" t="s">
        <v>21</v>
      </c>
      <c r="D88">
        <v>42.658439999999999</v>
      </c>
      <c r="E88">
        <v>-73.749780000000001</v>
      </c>
      <c r="F88" t="s">
        <v>22</v>
      </c>
      <c r="G88">
        <v>162</v>
      </c>
      <c r="H88">
        <v>2</v>
      </c>
      <c r="I88">
        <v>98</v>
      </c>
      <c r="J88" s="1">
        <v>46159</v>
      </c>
      <c r="K88">
        <v>1.72</v>
      </c>
      <c r="L88">
        <v>3</v>
      </c>
      <c r="M88">
        <v>360</v>
      </c>
      <c r="N88">
        <v>8</v>
      </c>
      <c r="O88" t="str">
        <f t="shared" si="2"/>
        <v>101-200</v>
      </c>
      <c r="P88" t="str">
        <f>IF(airbnb_data3[[#This Row],[price]]&lt;=100,"Budget",
IF(airbnb_data3[[#This Row],[price]]&lt;=200,"Mid-range",
IF(airbnb_data3[[#This Row],[price]]&lt;=300,"Premium","Luxury")))</f>
        <v>Mid-range</v>
      </c>
      <c r="Q88" t="str">
        <f>IF(airbnb_data3[[#This Row],[availability_365]]&lt;=120,"Low Availability",IF(airbnb_data3[[#This Row],[availability_365]]&lt;=240,"Medium Availability","High Availability"))</f>
        <v>High Availability</v>
      </c>
      <c r="R88" s="6" t="str">
        <f t="shared" si="3"/>
        <v>High</v>
      </c>
      <c r="S88" s="6" t="str">
        <f>IF(airbnb_data3[[#This Row],[minimum_nights]]&lt;=3,"Short Stay",IF(airbnb_data3[[#This Row],[minimum_nights]]&lt;=7,"Medium Stay","Long Stay"))</f>
        <v>Short Stay</v>
      </c>
    </row>
    <row r="89" spans="1:19" x14ac:dyDescent="0.35">
      <c r="A89" t="s">
        <v>167</v>
      </c>
      <c r="B89" t="s">
        <v>72</v>
      </c>
      <c r="C89" t="s">
        <v>117</v>
      </c>
      <c r="D89">
        <v>42.630659999999999</v>
      </c>
      <c r="E89">
        <v>-73.773570000000007</v>
      </c>
      <c r="F89" t="s">
        <v>22</v>
      </c>
      <c r="G89">
        <v>196</v>
      </c>
      <c r="H89">
        <v>3</v>
      </c>
      <c r="I89">
        <v>93</v>
      </c>
      <c r="J89" s="1">
        <v>46168</v>
      </c>
      <c r="K89">
        <v>1.62</v>
      </c>
      <c r="L89">
        <v>9</v>
      </c>
      <c r="M89">
        <v>135</v>
      </c>
      <c r="N89">
        <v>20</v>
      </c>
      <c r="O89" t="str">
        <f t="shared" si="2"/>
        <v>101-200</v>
      </c>
      <c r="P89" t="str">
        <f>IF(airbnb_data3[[#This Row],[price]]&lt;=100,"Budget",
IF(airbnb_data3[[#This Row],[price]]&lt;=200,"Mid-range",
IF(airbnb_data3[[#This Row],[price]]&lt;=300,"Premium","Luxury")))</f>
        <v>Mid-range</v>
      </c>
      <c r="Q89" t="str">
        <f>IF(airbnb_data3[[#This Row],[availability_365]]&lt;=120,"Low Availability",IF(airbnb_data3[[#This Row],[availability_365]]&lt;=240,"Medium Availability","High Availability"))</f>
        <v>Medium Availability</v>
      </c>
      <c r="R89" s="6" t="str">
        <f t="shared" si="3"/>
        <v>Medium</v>
      </c>
      <c r="S89" s="6" t="str">
        <f>IF(airbnb_data3[[#This Row],[minimum_nights]]&lt;=3,"Short Stay",IF(airbnb_data3[[#This Row],[minimum_nights]]&lt;=7,"Medium Stay","Long Stay"))</f>
        <v>Short Stay</v>
      </c>
    </row>
    <row r="90" spans="1:19" x14ac:dyDescent="0.35">
      <c r="A90" t="s">
        <v>168</v>
      </c>
      <c r="B90" t="s">
        <v>169</v>
      </c>
      <c r="C90" t="s">
        <v>25</v>
      </c>
      <c r="D90">
        <v>42.656410000000001</v>
      </c>
      <c r="E90">
        <v>-73.764129999999994</v>
      </c>
      <c r="F90" t="s">
        <v>22</v>
      </c>
      <c r="G90">
        <v>118</v>
      </c>
      <c r="H90">
        <v>1</v>
      </c>
      <c r="I90">
        <v>401</v>
      </c>
      <c r="J90" s="1">
        <v>46173</v>
      </c>
      <c r="K90">
        <v>7.06</v>
      </c>
      <c r="L90">
        <v>1</v>
      </c>
      <c r="M90">
        <v>59</v>
      </c>
      <c r="N90">
        <v>75</v>
      </c>
      <c r="O90" t="str">
        <f t="shared" si="2"/>
        <v>101-200</v>
      </c>
      <c r="P90" t="str">
        <f>IF(airbnb_data3[[#This Row],[price]]&lt;=100,"Budget",
IF(airbnb_data3[[#This Row],[price]]&lt;=200,"Mid-range",
IF(airbnb_data3[[#This Row],[price]]&lt;=300,"Premium","Luxury")))</f>
        <v>Mid-range</v>
      </c>
      <c r="Q90" t="str">
        <f>IF(airbnb_data3[[#This Row],[availability_365]]&lt;=120,"Low Availability",IF(airbnb_data3[[#This Row],[availability_365]]&lt;=240,"Medium Availability","High Availability"))</f>
        <v>Low Availability</v>
      </c>
      <c r="R90" s="6" t="str">
        <f t="shared" si="3"/>
        <v>High</v>
      </c>
      <c r="S90" s="6" t="str">
        <f>IF(airbnb_data3[[#This Row],[minimum_nights]]&lt;=3,"Short Stay",IF(airbnb_data3[[#This Row],[minimum_nights]]&lt;=7,"Medium Stay","Long Stay"))</f>
        <v>Short Stay</v>
      </c>
    </row>
    <row r="91" spans="1:19" x14ac:dyDescent="0.35">
      <c r="A91" t="s">
        <v>170</v>
      </c>
      <c r="B91" t="s">
        <v>150</v>
      </c>
      <c r="C91" t="s">
        <v>25</v>
      </c>
      <c r="D91">
        <v>42.653860000000002</v>
      </c>
      <c r="E91">
        <v>-73.75958</v>
      </c>
      <c r="F91" t="s">
        <v>22</v>
      </c>
      <c r="G91">
        <v>149</v>
      </c>
      <c r="H91">
        <v>2</v>
      </c>
      <c r="I91">
        <v>81</v>
      </c>
      <c r="J91" s="1">
        <v>46158</v>
      </c>
      <c r="K91">
        <v>1.41</v>
      </c>
      <c r="L91">
        <v>3</v>
      </c>
      <c r="M91">
        <v>353</v>
      </c>
      <c r="N91">
        <v>5</v>
      </c>
      <c r="O91" t="str">
        <f t="shared" si="2"/>
        <v>101-200</v>
      </c>
      <c r="P91" t="str">
        <f>IF(airbnb_data3[[#This Row],[price]]&lt;=100,"Budget",
IF(airbnb_data3[[#This Row],[price]]&lt;=200,"Mid-range",
IF(airbnb_data3[[#This Row],[price]]&lt;=300,"Premium","Luxury")))</f>
        <v>Mid-range</v>
      </c>
      <c r="Q91" t="str">
        <f>IF(airbnb_data3[[#This Row],[availability_365]]&lt;=120,"Low Availability",IF(airbnb_data3[[#This Row],[availability_365]]&lt;=240,"Medium Availability","High Availability"))</f>
        <v>High Availability</v>
      </c>
      <c r="R91" s="6" t="str">
        <f t="shared" si="3"/>
        <v>High</v>
      </c>
      <c r="S91" s="6" t="str">
        <f>IF(airbnb_data3[[#This Row],[minimum_nights]]&lt;=3,"Short Stay",IF(airbnb_data3[[#This Row],[minimum_nights]]&lt;=7,"Medium Stay","Long Stay"))</f>
        <v>Short Stay</v>
      </c>
    </row>
    <row r="92" spans="1:19" x14ac:dyDescent="0.35">
      <c r="A92" t="s">
        <v>171</v>
      </c>
      <c r="B92" t="s">
        <v>95</v>
      </c>
      <c r="C92" t="s">
        <v>51</v>
      </c>
      <c r="D92">
        <v>42.656739999999999</v>
      </c>
      <c r="E92">
        <v>-73.792209999999997</v>
      </c>
      <c r="F92" t="s">
        <v>22</v>
      </c>
      <c r="G92">
        <v>268</v>
      </c>
      <c r="H92">
        <v>2</v>
      </c>
      <c r="I92">
        <v>158</v>
      </c>
      <c r="J92" s="1">
        <v>46159</v>
      </c>
      <c r="K92">
        <v>2.78</v>
      </c>
      <c r="L92">
        <v>14</v>
      </c>
      <c r="M92">
        <v>243</v>
      </c>
      <c r="N92">
        <v>20</v>
      </c>
      <c r="O92" t="str">
        <f t="shared" si="2"/>
        <v>201-300</v>
      </c>
      <c r="P92" t="str">
        <f>IF(airbnb_data3[[#This Row],[price]]&lt;=100,"Budget",
IF(airbnb_data3[[#This Row],[price]]&lt;=200,"Mid-range",
IF(airbnb_data3[[#This Row],[price]]&lt;=300,"Premium","Luxury")))</f>
        <v>Premium</v>
      </c>
      <c r="Q92" t="str">
        <f>IF(airbnb_data3[[#This Row],[availability_365]]&lt;=120,"Low Availability",IF(airbnb_data3[[#This Row],[availability_365]]&lt;=240,"Medium Availability","High Availability"))</f>
        <v>High Availability</v>
      </c>
      <c r="R92" s="6" t="str">
        <f t="shared" si="3"/>
        <v>Medium</v>
      </c>
      <c r="S92" s="6" t="str">
        <f>IF(airbnb_data3[[#This Row],[minimum_nights]]&lt;=3,"Short Stay",IF(airbnb_data3[[#This Row],[minimum_nights]]&lt;=7,"Medium Stay","Long Stay"))</f>
        <v>Short Stay</v>
      </c>
    </row>
    <row r="93" spans="1:19" x14ac:dyDescent="0.35">
      <c r="A93" t="s">
        <v>172</v>
      </c>
      <c r="B93" t="s">
        <v>95</v>
      </c>
      <c r="C93" t="s">
        <v>47</v>
      </c>
      <c r="D93">
        <v>42.66236</v>
      </c>
      <c r="E93">
        <v>-73.792450000000002</v>
      </c>
      <c r="F93" t="s">
        <v>22</v>
      </c>
      <c r="G93">
        <v>819</v>
      </c>
      <c r="H93">
        <v>1</v>
      </c>
      <c r="I93">
        <v>113</v>
      </c>
      <c r="J93" s="1">
        <v>46173</v>
      </c>
      <c r="K93">
        <v>1.99</v>
      </c>
      <c r="L93">
        <v>14</v>
      </c>
      <c r="M93">
        <v>236</v>
      </c>
      <c r="N93">
        <v>23</v>
      </c>
      <c r="O93" t="str">
        <f t="shared" si="2"/>
        <v>500+</v>
      </c>
      <c r="P93" t="str">
        <f>IF(airbnb_data3[[#This Row],[price]]&lt;=100,"Budget",
IF(airbnb_data3[[#This Row],[price]]&lt;=200,"Mid-range",
IF(airbnb_data3[[#This Row],[price]]&lt;=300,"Premium","Luxury")))</f>
        <v>Luxury</v>
      </c>
      <c r="Q93" t="str">
        <f>IF(airbnb_data3[[#This Row],[availability_365]]&lt;=120,"Low Availability",IF(airbnb_data3[[#This Row],[availability_365]]&lt;=240,"Medium Availability","High Availability"))</f>
        <v>Medium Availability</v>
      </c>
      <c r="R93" s="6" t="str">
        <f t="shared" si="3"/>
        <v>High</v>
      </c>
      <c r="S93" s="6" t="str">
        <f>IF(airbnb_data3[[#This Row],[minimum_nights]]&lt;=3,"Short Stay",IF(airbnb_data3[[#This Row],[minimum_nights]]&lt;=7,"Medium Stay","Long Stay"))</f>
        <v>Short Stay</v>
      </c>
    </row>
    <row r="94" spans="1:19" x14ac:dyDescent="0.35">
      <c r="A94" t="s">
        <v>173</v>
      </c>
      <c r="B94" t="s">
        <v>132</v>
      </c>
      <c r="C94" t="s">
        <v>91</v>
      </c>
      <c r="D94">
        <v>42.658119999999997</v>
      </c>
      <c r="E94">
        <v>-73.748369999999994</v>
      </c>
      <c r="F94" t="s">
        <v>22</v>
      </c>
      <c r="G94">
        <v>217</v>
      </c>
      <c r="H94">
        <v>1</v>
      </c>
      <c r="I94">
        <v>88</v>
      </c>
      <c r="J94" s="1">
        <v>45950</v>
      </c>
      <c r="K94">
        <v>1.56</v>
      </c>
      <c r="L94">
        <v>16</v>
      </c>
      <c r="M94">
        <v>196</v>
      </c>
      <c r="N94">
        <v>12</v>
      </c>
      <c r="O94" t="str">
        <f t="shared" si="2"/>
        <v>201-300</v>
      </c>
      <c r="P94" t="str">
        <f>IF(airbnb_data3[[#This Row],[price]]&lt;=100,"Budget",
IF(airbnb_data3[[#This Row],[price]]&lt;=200,"Mid-range",
IF(airbnb_data3[[#This Row],[price]]&lt;=300,"Premium","Luxury")))</f>
        <v>Premium</v>
      </c>
      <c r="Q94" t="str">
        <f>IF(airbnb_data3[[#This Row],[availability_365]]&lt;=120,"Low Availability",IF(airbnb_data3[[#This Row],[availability_365]]&lt;=240,"Medium Availability","High Availability"))</f>
        <v>Medium Availability</v>
      </c>
      <c r="R94" s="6" t="str">
        <f t="shared" si="3"/>
        <v>High</v>
      </c>
      <c r="S94" s="6" t="str">
        <f>IF(airbnb_data3[[#This Row],[minimum_nights]]&lt;=3,"Short Stay",IF(airbnb_data3[[#This Row],[minimum_nights]]&lt;=7,"Medium Stay","Long Stay"))</f>
        <v>Short Stay</v>
      </c>
    </row>
    <row r="95" spans="1:19" x14ac:dyDescent="0.35">
      <c r="A95" t="s">
        <v>174</v>
      </c>
      <c r="B95" t="s">
        <v>111</v>
      </c>
      <c r="C95" t="s">
        <v>25</v>
      </c>
      <c r="D95">
        <v>42.658259999999999</v>
      </c>
      <c r="E95">
        <v>-73.769440000000003</v>
      </c>
      <c r="F95" t="s">
        <v>22</v>
      </c>
      <c r="G95">
        <v>154</v>
      </c>
      <c r="H95">
        <v>1</v>
      </c>
      <c r="I95">
        <v>283</v>
      </c>
      <c r="J95" s="1">
        <v>46186</v>
      </c>
      <c r="K95">
        <v>5.01</v>
      </c>
      <c r="L95">
        <v>3</v>
      </c>
      <c r="M95">
        <v>327</v>
      </c>
      <c r="N95">
        <v>75</v>
      </c>
      <c r="O95" t="str">
        <f t="shared" si="2"/>
        <v>101-200</v>
      </c>
      <c r="P95" t="str">
        <f>IF(airbnb_data3[[#This Row],[price]]&lt;=100,"Budget",
IF(airbnb_data3[[#This Row],[price]]&lt;=200,"Mid-range",
IF(airbnb_data3[[#This Row],[price]]&lt;=300,"Premium","Luxury")))</f>
        <v>Mid-range</v>
      </c>
      <c r="Q95" t="str">
        <f>IF(airbnb_data3[[#This Row],[availability_365]]&lt;=120,"Low Availability",IF(airbnb_data3[[#This Row],[availability_365]]&lt;=240,"Medium Availability","High Availability"))</f>
        <v>High Availability</v>
      </c>
      <c r="R95" s="6" t="str">
        <f t="shared" si="3"/>
        <v>High</v>
      </c>
      <c r="S95" s="6" t="str">
        <f>IF(airbnb_data3[[#This Row],[minimum_nights]]&lt;=3,"Short Stay",IF(airbnb_data3[[#This Row],[minimum_nights]]&lt;=7,"Medium Stay","Long Stay"))</f>
        <v>Short Stay</v>
      </c>
    </row>
    <row r="96" spans="1:19" x14ac:dyDescent="0.35">
      <c r="A96" t="s">
        <v>175</v>
      </c>
      <c r="B96" t="s">
        <v>176</v>
      </c>
      <c r="C96" t="s">
        <v>34</v>
      </c>
      <c r="D96">
        <v>42.658239999999999</v>
      </c>
      <c r="E96">
        <v>-73.801140000000004</v>
      </c>
      <c r="F96" t="s">
        <v>22</v>
      </c>
      <c r="G96">
        <v>315</v>
      </c>
      <c r="H96">
        <v>1</v>
      </c>
      <c r="I96">
        <v>188</v>
      </c>
      <c r="J96" s="1">
        <v>46187</v>
      </c>
      <c r="K96">
        <v>3.47</v>
      </c>
      <c r="L96">
        <v>4</v>
      </c>
      <c r="M96">
        <v>230</v>
      </c>
      <c r="N96">
        <v>30</v>
      </c>
      <c r="O96" t="str">
        <f t="shared" si="2"/>
        <v>301-500</v>
      </c>
      <c r="P96" t="str">
        <f>IF(airbnb_data3[[#This Row],[price]]&lt;=100,"Budget",
IF(airbnb_data3[[#This Row],[price]]&lt;=200,"Mid-range",
IF(airbnb_data3[[#This Row],[price]]&lt;=300,"Premium","Luxury")))</f>
        <v>Luxury</v>
      </c>
      <c r="Q96" t="str">
        <f>IF(airbnb_data3[[#This Row],[availability_365]]&lt;=120,"Low Availability",IF(airbnb_data3[[#This Row],[availability_365]]&lt;=240,"Medium Availability","High Availability"))</f>
        <v>Medium Availability</v>
      </c>
      <c r="R96" s="6" t="str">
        <f t="shared" si="3"/>
        <v>High</v>
      </c>
      <c r="S96" s="6" t="str">
        <f>IF(airbnb_data3[[#This Row],[minimum_nights]]&lt;=3,"Short Stay",IF(airbnb_data3[[#This Row],[minimum_nights]]&lt;=7,"Medium Stay","Long Stay"))</f>
        <v>Short Stay</v>
      </c>
    </row>
    <row r="97" spans="1:19" x14ac:dyDescent="0.35">
      <c r="A97" t="s">
        <v>177</v>
      </c>
      <c r="B97" t="s">
        <v>176</v>
      </c>
      <c r="C97" t="s">
        <v>25</v>
      </c>
      <c r="D97">
        <v>42.65204</v>
      </c>
      <c r="E97">
        <v>-73.766549999999995</v>
      </c>
      <c r="F97" t="s">
        <v>22</v>
      </c>
      <c r="G97">
        <v>177</v>
      </c>
      <c r="H97">
        <v>1</v>
      </c>
      <c r="I97">
        <v>308</v>
      </c>
      <c r="J97" s="1">
        <v>46180</v>
      </c>
      <c r="K97">
        <v>5.61</v>
      </c>
      <c r="L97">
        <v>4</v>
      </c>
      <c r="M97">
        <v>89</v>
      </c>
      <c r="N97">
        <v>39</v>
      </c>
      <c r="O97" t="str">
        <f t="shared" si="2"/>
        <v>101-200</v>
      </c>
      <c r="P97" t="str">
        <f>IF(airbnb_data3[[#This Row],[price]]&lt;=100,"Budget",
IF(airbnb_data3[[#This Row],[price]]&lt;=200,"Mid-range",
IF(airbnb_data3[[#This Row],[price]]&lt;=300,"Premium","Luxury")))</f>
        <v>Mid-range</v>
      </c>
      <c r="Q97" t="str">
        <f>IF(airbnb_data3[[#This Row],[availability_365]]&lt;=120,"Low Availability",IF(airbnb_data3[[#This Row],[availability_365]]&lt;=240,"Medium Availability","High Availability"))</f>
        <v>Low Availability</v>
      </c>
      <c r="R97" s="6" t="str">
        <f t="shared" si="3"/>
        <v>Medium</v>
      </c>
      <c r="S97" s="6" t="str">
        <f>IF(airbnb_data3[[#This Row],[minimum_nights]]&lt;=3,"Short Stay",IF(airbnb_data3[[#This Row],[minimum_nights]]&lt;=7,"Medium Stay","Long Stay"))</f>
        <v>Short Stay</v>
      </c>
    </row>
    <row r="98" spans="1:19" x14ac:dyDescent="0.35">
      <c r="A98" t="s">
        <v>178</v>
      </c>
      <c r="B98" t="s">
        <v>132</v>
      </c>
      <c r="C98" t="s">
        <v>91</v>
      </c>
      <c r="D98">
        <v>42.659129999999998</v>
      </c>
      <c r="E98">
        <v>-73.747219999999999</v>
      </c>
      <c r="F98" t="s">
        <v>22</v>
      </c>
      <c r="G98">
        <v>269</v>
      </c>
      <c r="H98">
        <v>1</v>
      </c>
      <c r="I98">
        <v>144</v>
      </c>
      <c r="J98" s="1">
        <v>46166</v>
      </c>
      <c r="K98">
        <v>2.62</v>
      </c>
      <c r="L98">
        <v>16</v>
      </c>
      <c r="M98">
        <v>178</v>
      </c>
      <c r="N98">
        <v>24</v>
      </c>
      <c r="O98" t="str">
        <f t="shared" si="2"/>
        <v>201-300</v>
      </c>
      <c r="P98" t="str">
        <f>IF(airbnb_data3[[#This Row],[price]]&lt;=100,"Budget",
IF(airbnb_data3[[#This Row],[price]]&lt;=200,"Mid-range",
IF(airbnb_data3[[#This Row],[price]]&lt;=300,"Premium","Luxury")))</f>
        <v>Premium</v>
      </c>
      <c r="Q98" t="str">
        <f>IF(airbnb_data3[[#This Row],[availability_365]]&lt;=120,"Low Availability",IF(airbnb_data3[[#This Row],[availability_365]]&lt;=240,"Medium Availability","High Availability"))</f>
        <v>Medium Availability</v>
      </c>
      <c r="R98" s="6" t="str">
        <f t="shared" si="3"/>
        <v>High</v>
      </c>
      <c r="S98" s="6" t="str">
        <f>IF(airbnb_data3[[#This Row],[minimum_nights]]&lt;=3,"Short Stay",IF(airbnb_data3[[#This Row],[minimum_nights]]&lt;=7,"Medium Stay","Long Stay"))</f>
        <v>Short Stay</v>
      </c>
    </row>
    <row r="99" spans="1:19" x14ac:dyDescent="0.35">
      <c r="A99" t="s">
        <v>179</v>
      </c>
      <c r="B99" t="s">
        <v>36</v>
      </c>
      <c r="C99" t="s">
        <v>37</v>
      </c>
      <c r="D99">
        <v>42.674675000000001</v>
      </c>
      <c r="E99">
        <v>-73.822861000000003</v>
      </c>
      <c r="F99" t="s">
        <v>22</v>
      </c>
      <c r="G99">
        <v>701</v>
      </c>
      <c r="H99">
        <v>1</v>
      </c>
      <c r="I99">
        <v>62</v>
      </c>
      <c r="J99" s="1">
        <v>46168</v>
      </c>
      <c r="K99">
        <v>1.2</v>
      </c>
      <c r="L99">
        <v>8</v>
      </c>
      <c r="M99">
        <v>356</v>
      </c>
      <c r="N99">
        <v>22</v>
      </c>
      <c r="O99" t="str">
        <f t="shared" si="2"/>
        <v>500+</v>
      </c>
      <c r="P99" t="str">
        <f>IF(airbnb_data3[[#This Row],[price]]&lt;=100,"Budget",
IF(airbnb_data3[[#This Row],[price]]&lt;=200,"Mid-range",
IF(airbnb_data3[[#This Row],[price]]&lt;=300,"Premium","Luxury")))</f>
        <v>Luxury</v>
      </c>
      <c r="Q99" t="str">
        <f>IF(airbnb_data3[[#This Row],[availability_365]]&lt;=120,"Low Availability",IF(airbnb_data3[[#This Row],[availability_365]]&lt;=240,"Medium Availability","High Availability"))</f>
        <v>High Availability</v>
      </c>
      <c r="R99" s="6" t="str">
        <f t="shared" si="3"/>
        <v>Medium</v>
      </c>
      <c r="S99" s="6" t="str">
        <f>IF(airbnb_data3[[#This Row],[minimum_nights]]&lt;=3,"Short Stay",IF(airbnb_data3[[#This Row],[minimum_nights]]&lt;=7,"Medium Stay","Long Stay"))</f>
        <v>Short Stay</v>
      </c>
    </row>
    <row r="100" spans="1:19" x14ac:dyDescent="0.35">
      <c r="A100" t="s">
        <v>181</v>
      </c>
      <c r="B100" t="s">
        <v>182</v>
      </c>
      <c r="C100" t="s">
        <v>47</v>
      </c>
      <c r="D100">
        <v>42.662610000000001</v>
      </c>
      <c r="E100">
        <v>-73.790260000000004</v>
      </c>
      <c r="F100" t="s">
        <v>22</v>
      </c>
      <c r="G100">
        <v>146</v>
      </c>
      <c r="H100">
        <v>1</v>
      </c>
      <c r="I100">
        <v>124</v>
      </c>
      <c r="J100" s="1">
        <v>46166</v>
      </c>
      <c r="K100">
        <v>2.54</v>
      </c>
      <c r="L100">
        <v>16</v>
      </c>
      <c r="M100">
        <v>248</v>
      </c>
      <c r="N100">
        <v>19</v>
      </c>
      <c r="O100" t="str">
        <f t="shared" si="2"/>
        <v>101-200</v>
      </c>
      <c r="P100" t="str">
        <f>IF(airbnb_data3[[#This Row],[price]]&lt;=100,"Budget",
IF(airbnb_data3[[#This Row],[price]]&lt;=200,"Mid-range",
IF(airbnb_data3[[#This Row],[price]]&lt;=300,"Premium","Luxury")))</f>
        <v>Mid-range</v>
      </c>
      <c r="Q100" t="str">
        <f>IF(airbnb_data3[[#This Row],[availability_365]]&lt;=120,"Low Availability",IF(airbnb_data3[[#This Row],[availability_365]]&lt;=240,"Medium Availability","High Availability"))</f>
        <v>High Availability</v>
      </c>
      <c r="R100" s="6" t="str">
        <f t="shared" si="3"/>
        <v>High</v>
      </c>
      <c r="S100" s="6" t="str">
        <f>IF(airbnb_data3[[#This Row],[minimum_nights]]&lt;=3,"Short Stay",IF(airbnb_data3[[#This Row],[minimum_nights]]&lt;=7,"Medium Stay","Long Stay"))</f>
        <v>Short Stay</v>
      </c>
    </row>
    <row r="101" spans="1:19" x14ac:dyDescent="0.35">
      <c r="A101" t="s">
        <v>183</v>
      </c>
      <c r="B101" t="s">
        <v>182</v>
      </c>
      <c r="C101" t="s">
        <v>25</v>
      </c>
      <c r="D101">
        <v>42.654220000000002</v>
      </c>
      <c r="E101">
        <v>-73.769959999999998</v>
      </c>
      <c r="F101" t="s">
        <v>22</v>
      </c>
      <c r="G101">
        <v>183</v>
      </c>
      <c r="H101">
        <v>1</v>
      </c>
      <c r="I101">
        <v>82</v>
      </c>
      <c r="J101" s="1">
        <v>46173</v>
      </c>
      <c r="K101">
        <v>1.59</v>
      </c>
      <c r="L101">
        <v>16</v>
      </c>
      <c r="M101">
        <v>325</v>
      </c>
      <c r="N101">
        <v>13</v>
      </c>
      <c r="O101" t="str">
        <f t="shared" si="2"/>
        <v>101-200</v>
      </c>
      <c r="P101" t="str">
        <f>IF(airbnb_data3[[#This Row],[price]]&lt;=100,"Budget",
IF(airbnb_data3[[#This Row],[price]]&lt;=200,"Mid-range",
IF(airbnb_data3[[#This Row],[price]]&lt;=300,"Premium","Luxury")))</f>
        <v>Mid-range</v>
      </c>
      <c r="Q101" t="str">
        <f>IF(airbnb_data3[[#This Row],[availability_365]]&lt;=120,"Low Availability",IF(airbnb_data3[[#This Row],[availability_365]]&lt;=240,"Medium Availability","High Availability"))</f>
        <v>High Availability</v>
      </c>
      <c r="R101" s="6" t="str">
        <f t="shared" si="3"/>
        <v>Medium</v>
      </c>
      <c r="S101" s="6" t="str">
        <f>IF(airbnb_data3[[#This Row],[minimum_nights]]&lt;=3,"Short Stay",IF(airbnb_data3[[#This Row],[minimum_nights]]&lt;=7,"Medium Stay","Long Stay"))</f>
        <v>Short Stay</v>
      </c>
    </row>
    <row r="102" spans="1:19" x14ac:dyDescent="0.35">
      <c r="A102" t="s">
        <v>184</v>
      </c>
      <c r="B102" t="s">
        <v>182</v>
      </c>
      <c r="C102" t="s">
        <v>25</v>
      </c>
      <c r="D102">
        <v>42.654029999999999</v>
      </c>
      <c r="E102">
        <v>-73.770560000000003</v>
      </c>
      <c r="F102" t="s">
        <v>22</v>
      </c>
      <c r="G102">
        <v>173</v>
      </c>
      <c r="H102">
        <v>1</v>
      </c>
      <c r="I102">
        <v>192</v>
      </c>
      <c r="J102" s="1">
        <v>46113</v>
      </c>
      <c r="K102">
        <v>3.55</v>
      </c>
      <c r="L102">
        <v>16</v>
      </c>
      <c r="M102">
        <v>337</v>
      </c>
      <c r="N102">
        <v>56</v>
      </c>
      <c r="O102" t="str">
        <f t="shared" si="2"/>
        <v>101-200</v>
      </c>
      <c r="P102" t="str">
        <f>IF(airbnb_data3[[#This Row],[price]]&lt;=100,"Budget",
IF(airbnb_data3[[#This Row],[price]]&lt;=200,"Mid-range",
IF(airbnb_data3[[#This Row],[price]]&lt;=300,"Premium","Luxury")))</f>
        <v>Mid-range</v>
      </c>
      <c r="Q102" t="str">
        <f>IF(airbnb_data3[[#This Row],[availability_365]]&lt;=120,"Low Availability",IF(airbnb_data3[[#This Row],[availability_365]]&lt;=240,"Medium Availability","High Availability"))</f>
        <v>High Availability</v>
      </c>
      <c r="R102" s="6" t="str">
        <f t="shared" si="3"/>
        <v>Medium</v>
      </c>
      <c r="S102" s="6" t="str">
        <f>IF(airbnb_data3[[#This Row],[minimum_nights]]&lt;=3,"Short Stay",IF(airbnb_data3[[#This Row],[minimum_nights]]&lt;=7,"Medium Stay","Long Stay"))</f>
        <v>Short Stay</v>
      </c>
    </row>
    <row r="103" spans="1:19" x14ac:dyDescent="0.35">
      <c r="A103" t="s">
        <v>187</v>
      </c>
      <c r="B103" t="s">
        <v>72</v>
      </c>
      <c r="C103" t="s">
        <v>51</v>
      </c>
      <c r="D103">
        <v>42.65578</v>
      </c>
      <c r="E103">
        <v>-73.786410000000004</v>
      </c>
      <c r="F103" t="s">
        <v>22</v>
      </c>
      <c r="G103">
        <v>144</v>
      </c>
      <c r="H103">
        <v>3</v>
      </c>
      <c r="I103">
        <v>87</v>
      </c>
      <c r="J103" s="1">
        <v>46159</v>
      </c>
      <c r="K103">
        <v>1.92</v>
      </c>
      <c r="L103">
        <v>9</v>
      </c>
      <c r="M103">
        <v>219</v>
      </c>
      <c r="N103">
        <v>29</v>
      </c>
      <c r="O103" t="str">
        <f t="shared" si="2"/>
        <v>101-200</v>
      </c>
      <c r="P103" t="str">
        <f>IF(airbnb_data3[[#This Row],[price]]&lt;=100,"Budget",
IF(airbnb_data3[[#This Row],[price]]&lt;=200,"Mid-range",
IF(airbnb_data3[[#This Row],[price]]&lt;=300,"Premium","Luxury")))</f>
        <v>Mid-range</v>
      </c>
      <c r="Q103" t="str">
        <f>IF(airbnb_data3[[#This Row],[availability_365]]&lt;=120,"Low Availability",IF(airbnb_data3[[#This Row],[availability_365]]&lt;=240,"Medium Availability","High Availability"))</f>
        <v>Medium Availability</v>
      </c>
      <c r="R103" s="6" t="str">
        <f t="shared" si="3"/>
        <v>Medium</v>
      </c>
      <c r="S103" s="6" t="str">
        <f>IF(airbnb_data3[[#This Row],[minimum_nights]]&lt;=3,"Short Stay",IF(airbnb_data3[[#This Row],[minimum_nights]]&lt;=7,"Medium Stay","Long Stay"))</f>
        <v>Short Stay</v>
      </c>
    </row>
    <row r="104" spans="1:19" x14ac:dyDescent="0.35">
      <c r="A104" t="s">
        <v>188</v>
      </c>
      <c r="B104" t="s">
        <v>72</v>
      </c>
      <c r="C104" t="s">
        <v>47</v>
      </c>
      <c r="D104">
        <v>42.659050000000001</v>
      </c>
      <c r="E104">
        <v>-73.779640000000001</v>
      </c>
      <c r="F104" t="s">
        <v>22</v>
      </c>
      <c r="G104">
        <v>137</v>
      </c>
      <c r="H104">
        <v>3</v>
      </c>
      <c r="I104">
        <v>66</v>
      </c>
      <c r="J104" s="1">
        <v>46094</v>
      </c>
      <c r="K104">
        <v>1.33</v>
      </c>
      <c r="L104">
        <v>9</v>
      </c>
      <c r="M104">
        <v>319</v>
      </c>
      <c r="N104">
        <v>9</v>
      </c>
      <c r="O104" t="str">
        <f t="shared" si="2"/>
        <v>101-200</v>
      </c>
      <c r="P104" t="str">
        <f>IF(airbnb_data3[[#This Row],[price]]&lt;=100,"Budget",
IF(airbnb_data3[[#This Row],[price]]&lt;=200,"Mid-range",
IF(airbnb_data3[[#This Row],[price]]&lt;=300,"Premium","Luxury")))</f>
        <v>Mid-range</v>
      </c>
      <c r="Q104" t="str">
        <f>IF(airbnb_data3[[#This Row],[availability_365]]&lt;=120,"Low Availability",IF(airbnb_data3[[#This Row],[availability_365]]&lt;=240,"Medium Availability","High Availability"))</f>
        <v>High Availability</v>
      </c>
      <c r="R104" s="6" t="str">
        <f t="shared" si="3"/>
        <v>Medium</v>
      </c>
      <c r="S104" s="6" t="str">
        <f>IF(airbnb_data3[[#This Row],[minimum_nights]]&lt;=3,"Short Stay",IF(airbnb_data3[[#This Row],[minimum_nights]]&lt;=7,"Medium Stay","Long Stay"))</f>
        <v>Short Stay</v>
      </c>
    </row>
    <row r="105" spans="1:19" x14ac:dyDescent="0.35">
      <c r="A105" t="s">
        <v>189</v>
      </c>
      <c r="B105" t="s">
        <v>190</v>
      </c>
      <c r="C105" t="s">
        <v>51</v>
      </c>
      <c r="D105">
        <v>42.660620000000002</v>
      </c>
      <c r="E105">
        <v>-73.791120000000006</v>
      </c>
      <c r="F105" t="s">
        <v>22</v>
      </c>
      <c r="G105">
        <v>95</v>
      </c>
      <c r="H105">
        <v>5</v>
      </c>
      <c r="I105">
        <v>2</v>
      </c>
      <c r="J105" s="1">
        <v>45103</v>
      </c>
      <c r="K105">
        <v>0.04</v>
      </c>
      <c r="L105">
        <v>1</v>
      </c>
      <c r="M105">
        <v>363</v>
      </c>
      <c r="N105">
        <v>0</v>
      </c>
      <c r="O105" t="str">
        <f t="shared" si="2"/>
        <v>0-100</v>
      </c>
      <c r="P105" t="str">
        <f>IF(airbnb_data3[[#This Row],[price]]&lt;=100,"Budget",
IF(airbnb_data3[[#This Row],[price]]&lt;=200,"Mid-range",
IF(airbnb_data3[[#This Row],[price]]&lt;=300,"Premium","Luxury")))</f>
        <v>Budget</v>
      </c>
      <c r="Q105" t="str">
        <f>IF(airbnb_data3[[#This Row],[availability_365]]&lt;=120,"Low Availability",IF(airbnb_data3[[#This Row],[availability_365]]&lt;=240,"Medium Availability","High Availability"))</f>
        <v>High Availability</v>
      </c>
      <c r="R105" s="6" t="str">
        <f t="shared" si="3"/>
        <v>High</v>
      </c>
      <c r="S105" s="6" t="str">
        <f>IF(airbnb_data3[[#This Row],[minimum_nights]]&lt;=3,"Short Stay",IF(airbnb_data3[[#This Row],[minimum_nights]]&lt;=7,"Medium Stay","Long Stay"))</f>
        <v>Medium Stay</v>
      </c>
    </row>
    <row r="106" spans="1:19" x14ac:dyDescent="0.35">
      <c r="A106" t="s">
        <v>191</v>
      </c>
      <c r="B106" t="s">
        <v>127</v>
      </c>
      <c r="C106" t="s">
        <v>28</v>
      </c>
      <c r="D106">
        <v>42.644410000000001</v>
      </c>
      <c r="E106">
        <v>-73.756469999999993</v>
      </c>
      <c r="F106" t="s">
        <v>22</v>
      </c>
      <c r="G106">
        <v>108</v>
      </c>
      <c r="H106">
        <v>13</v>
      </c>
      <c r="I106">
        <v>17</v>
      </c>
      <c r="J106" s="1">
        <v>46082</v>
      </c>
      <c r="K106">
        <v>0.35</v>
      </c>
      <c r="L106">
        <v>6</v>
      </c>
      <c r="M106">
        <v>166</v>
      </c>
      <c r="N106">
        <v>3</v>
      </c>
      <c r="O106" t="str">
        <f t="shared" si="2"/>
        <v>101-200</v>
      </c>
      <c r="P106" t="str">
        <f>IF(airbnb_data3[[#This Row],[price]]&lt;=100,"Budget",
IF(airbnb_data3[[#This Row],[price]]&lt;=200,"Mid-range",
IF(airbnb_data3[[#This Row],[price]]&lt;=300,"Premium","Luxury")))</f>
        <v>Mid-range</v>
      </c>
      <c r="Q106" t="str">
        <f>IF(airbnb_data3[[#This Row],[availability_365]]&lt;=120,"Low Availability",IF(airbnb_data3[[#This Row],[availability_365]]&lt;=240,"Medium Availability","High Availability"))</f>
        <v>Medium Availability</v>
      </c>
      <c r="R106" s="6" t="str">
        <f t="shared" si="3"/>
        <v>High</v>
      </c>
      <c r="S106" s="6" t="str">
        <f>IF(airbnb_data3[[#This Row],[minimum_nights]]&lt;=3,"Short Stay",IF(airbnb_data3[[#This Row],[minimum_nights]]&lt;=7,"Medium Stay","Long Stay"))</f>
        <v>Long Stay</v>
      </c>
    </row>
    <row r="107" spans="1:19" x14ac:dyDescent="0.35">
      <c r="A107" t="s">
        <v>192</v>
      </c>
      <c r="B107" t="s">
        <v>141</v>
      </c>
      <c r="C107" t="s">
        <v>68</v>
      </c>
      <c r="D107">
        <v>42.669110000000003</v>
      </c>
      <c r="E107">
        <v>-73.798689999999993</v>
      </c>
      <c r="F107" t="s">
        <v>31</v>
      </c>
      <c r="G107">
        <v>124</v>
      </c>
      <c r="H107">
        <v>1</v>
      </c>
      <c r="I107">
        <v>157</v>
      </c>
      <c r="J107" s="1">
        <v>46145</v>
      </c>
      <c r="K107">
        <v>3.25</v>
      </c>
      <c r="L107">
        <v>12</v>
      </c>
      <c r="M107">
        <v>3</v>
      </c>
      <c r="N107">
        <v>31</v>
      </c>
      <c r="O107" t="str">
        <f t="shared" si="2"/>
        <v>101-200</v>
      </c>
      <c r="P107" t="str">
        <f>IF(airbnb_data3[[#This Row],[price]]&lt;=100,"Budget",
IF(airbnb_data3[[#This Row],[price]]&lt;=200,"Mid-range",
IF(airbnb_data3[[#This Row],[price]]&lt;=300,"Premium","Luxury")))</f>
        <v>Mid-range</v>
      </c>
      <c r="Q107" t="str">
        <f>IF(airbnb_data3[[#This Row],[availability_365]]&lt;=120,"Low Availability",IF(airbnb_data3[[#This Row],[availability_365]]&lt;=240,"Medium Availability","High Availability"))</f>
        <v>Low Availability</v>
      </c>
      <c r="R107" s="6" t="str">
        <f t="shared" si="3"/>
        <v>Medium</v>
      </c>
      <c r="S107" s="6" t="str">
        <f>IF(airbnb_data3[[#This Row],[minimum_nights]]&lt;=3,"Short Stay",IF(airbnb_data3[[#This Row],[minimum_nights]]&lt;=7,"Medium Stay","Long Stay"))</f>
        <v>Short Stay</v>
      </c>
    </row>
    <row r="108" spans="1:19" x14ac:dyDescent="0.35">
      <c r="A108" t="s">
        <v>193</v>
      </c>
      <c r="B108" t="s">
        <v>176</v>
      </c>
      <c r="C108" t="s">
        <v>25</v>
      </c>
      <c r="D108">
        <v>42.653530000000003</v>
      </c>
      <c r="E108">
        <v>-73.767899999999997</v>
      </c>
      <c r="F108" t="s">
        <v>22</v>
      </c>
      <c r="G108">
        <v>177</v>
      </c>
      <c r="H108">
        <v>1</v>
      </c>
      <c r="I108">
        <v>242</v>
      </c>
      <c r="J108" s="1">
        <v>46188</v>
      </c>
      <c r="K108">
        <v>4.84</v>
      </c>
      <c r="L108">
        <v>4</v>
      </c>
      <c r="M108">
        <v>91</v>
      </c>
      <c r="N108">
        <v>63</v>
      </c>
      <c r="O108" t="str">
        <f t="shared" si="2"/>
        <v>101-200</v>
      </c>
      <c r="P108" t="str">
        <f>IF(airbnb_data3[[#This Row],[price]]&lt;=100,"Budget",
IF(airbnb_data3[[#This Row],[price]]&lt;=200,"Mid-range",
IF(airbnb_data3[[#This Row],[price]]&lt;=300,"Premium","Luxury")))</f>
        <v>Mid-range</v>
      </c>
      <c r="Q108" t="str">
        <f>IF(airbnb_data3[[#This Row],[availability_365]]&lt;=120,"Low Availability",IF(airbnb_data3[[#This Row],[availability_365]]&lt;=240,"Medium Availability","High Availability"))</f>
        <v>Low Availability</v>
      </c>
      <c r="R108" s="6" t="str">
        <f t="shared" si="3"/>
        <v>Medium</v>
      </c>
      <c r="S108" s="6" t="str">
        <f>IF(airbnb_data3[[#This Row],[minimum_nights]]&lt;=3,"Short Stay",IF(airbnb_data3[[#This Row],[minimum_nights]]&lt;=7,"Medium Stay","Long Stay"))</f>
        <v>Short Stay</v>
      </c>
    </row>
    <row r="109" spans="1:19" x14ac:dyDescent="0.35">
      <c r="A109" t="s">
        <v>194</v>
      </c>
      <c r="B109" t="s">
        <v>127</v>
      </c>
      <c r="C109" t="s">
        <v>28</v>
      </c>
      <c r="D109">
        <v>42.644889999999997</v>
      </c>
      <c r="E109">
        <v>-73.757310000000004</v>
      </c>
      <c r="F109" t="s">
        <v>22</v>
      </c>
      <c r="G109">
        <v>152</v>
      </c>
      <c r="H109">
        <v>13</v>
      </c>
      <c r="I109">
        <v>12</v>
      </c>
      <c r="J109" s="1">
        <v>46073</v>
      </c>
      <c r="K109">
        <v>0.25</v>
      </c>
      <c r="L109">
        <v>6</v>
      </c>
      <c r="M109">
        <v>282</v>
      </c>
      <c r="N109">
        <v>2</v>
      </c>
      <c r="O109" t="str">
        <f t="shared" si="2"/>
        <v>101-200</v>
      </c>
      <c r="P109" t="str">
        <f>IF(airbnb_data3[[#This Row],[price]]&lt;=100,"Budget",
IF(airbnb_data3[[#This Row],[price]]&lt;=200,"Mid-range",
IF(airbnb_data3[[#This Row],[price]]&lt;=300,"Premium","Luxury")))</f>
        <v>Mid-range</v>
      </c>
      <c r="Q109" t="str">
        <f>IF(airbnb_data3[[#This Row],[availability_365]]&lt;=120,"Low Availability",IF(airbnb_data3[[#This Row],[availability_365]]&lt;=240,"Medium Availability","High Availability"))</f>
        <v>High Availability</v>
      </c>
      <c r="R109" s="6" t="str">
        <f t="shared" si="3"/>
        <v>Medium</v>
      </c>
      <c r="S109" s="6" t="str">
        <f>IF(airbnb_data3[[#This Row],[minimum_nights]]&lt;=3,"Short Stay",IF(airbnb_data3[[#This Row],[minimum_nights]]&lt;=7,"Medium Stay","Long Stay"))</f>
        <v>Long Stay</v>
      </c>
    </row>
    <row r="110" spans="1:19" x14ac:dyDescent="0.35">
      <c r="A110" t="s">
        <v>195</v>
      </c>
      <c r="B110" t="s">
        <v>141</v>
      </c>
      <c r="C110" t="s">
        <v>34</v>
      </c>
      <c r="D110">
        <v>42.667619999999999</v>
      </c>
      <c r="E110">
        <v>-73.799189999999996</v>
      </c>
      <c r="F110" t="s">
        <v>22</v>
      </c>
      <c r="G110">
        <v>1701</v>
      </c>
      <c r="H110">
        <v>1</v>
      </c>
      <c r="I110">
        <v>18</v>
      </c>
      <c r="J110" s="1">
        <v>45925</v>
      </c>
      <c r="K110">
        <v>0.38</v>
      </c>
      <c r="L110">
        <v>12</v>
      </c>
      <c r="M110">
        <v>148</v>
      </c>
      <c r="N110">
        <v>3</v>
      </c>
      <c r="O110" t="str">
        <f t="shared" si="2"/>
        <v>500+</v>
      </c>
      <c r="P110" t="str">
        <f>IF(airbnb_data3[[#This Row],[price]]&lt;=100,"Budget",
IF(airbnb_data3[[#This Row],[price]]&lt;=200,"Mid-range",
IF(airbnb_data3[[#This Row],[price]]&lt;=300,"Premium","Luxury")))</f>
        <v>Luxury</v>
      </c>
      <c r="Q110" t="str">
        <f>IF(airbnb_data3[[#This Row],[availability_365]]&lt;=120,"Low Availability",IF(airbnb_data3[[#This Row],[availability_365]]&lt;=240,"Medium Availability","High Availability"))</f>
        <v>Medium Availability</v>
      </c>
      <c r="R110" s="6" t="str">
        <f t="shared" si="3"/>
        <v>Medium</v>
      </c>
      <c r="S110" s="6" t="str">
        <f>IF(airbnb_data3[[#This Row],[minimum_nights]]&lt;=3,"Short Stay",IF(airbnb_data3[[#This Row],[minimum_nights]]&lt;=7,"Medium Stay","Long Stay"))</f>
        <v>Short Stay</v>
      </c>
    </row>
    <row r="111" spans="1:19" x14ac:dyDescent="0.35">
      <c r="A111" t="s">
        <v>196</v>
      </c>
      <c r="B111" t="s">
        <v>132</v>
      </c>
      <c r="C111" t="s">
        <v>28</v>
      </c>
      <c r="D111">
        <v>42.64528</v>
      </c>
      <c r="E111">
        <v>-73.758610000000004</v>
      </c>
      <c r="F111" t="s">
        <v>22</v>
      </c>
      <c r="G111">
        <v>208</v>
      </c>
      <c r="H111">
        <v>1</v>
      </c>
      <c r="I111">
        <v>66</v>
      </c>
      <c r="J111" s="1">
        <v>46171</v>
      </c>
      <c r="K111">
        <v>1.35</v>
      </c>
      <c r="L111">
        <v>16</v>
      </c>
      <c r="M111">
        <v>189</v>
      </c>
      <c r="N111">
        <v>9</v>
      </c>
      <c r="O111" t="str">
        <f t="shared" si="2"/>
        <v>201-300</v>
      </c>
      <c r="P111" t="str">
        <f>IF(airbnb_data3[[#This Row],[price]]&lt;=100,"Budget",
IF(airbnb_data3[[#This Row],[price]]&lt;=200,"Mid-range",
IF(airbnb_data3[[#This Row],[price]]&lt;=300,"Premium","Luxury")))</f>
        <v>Premium</v>
      </c>
      <c r="Q111" t="str">
        <f>IF(airbnb_data3[[#This Row],[availability_365]]&lt;=120,"Low Availability",IF(airbnb_data3[[#This Row],[availability_365]]&lt;=240,"Medium Availability","High Availability"))</f>
        <v>Medium Availability</v>
      </c>
      <c r="R111" s="6" t="str">
        <f t="shared" si="3"/>
        <v>Medium</v>
      </c>
      <c r="S111" s="6" t="str">
        <f>IF(airbnb_data3[[#This Row],[minimum_nights]]&lt;=3,"Short Stay",IF(airbnb_data3[[#This Row],[minimum_nights]]&lt;=7,"Medium Stay","Long Stay"))</f>
        <v>Short Stay</v>
      </c>
    </row>
    <row r="112" spans="1:19" x14ac:dyDescent="0.35">
      <c r="A112" t="s">
        <v>197</v>
      </c>
      <c r="B112" t="s">
        <v>198</v>
      </c>
      <c r="C112" t="s">
        <v>21</v>
      </c>
      <c r="D112">
        <v>42.661699748312202</v>
      </c>
      <c r="E112">
        <v>-73.764668276057407</v>
      </c>
      <c r="F112" t="s">
        <v>31</v>
      </c>
      <c r="G112">
        <v>94</v>
      </c>
      <c r="H112">
        <v>3</v>
      </c>
      <c r="I112">
        <v>0</v>
      </c>
      <c r="K112">
        <v>0</v>
      </c>
      <c r="L112">
        <v>1</v>
      </c>
      <c r="M112">
        <v>88</v>
      </c>
      <c r="N112">
        <v>0</v>
      </c>
      <c r="O112" t="str">
        <f t="shared" si="2"/>
        <v>0-100</v>
      </c>
      <c r="P112" t="str">
        <f>IF(airbnb_data3[[#This Row],[price]]&lt;=100,"Budget",
IF(airbnb_data3[[#This Row],[price]]&lt;=200,"Mid-range",
IF(airbnb_data3[[#This Row],[price]]&lt;=300,"Premium","Luxury")))</f>
        <v>Budget</v>
      </c>
      <c r="Q112" t="str">
        <f>IF(airbnb_data3[[#This Row],[availability_365]]&lt;=120,"Low Availability",IF(airbnb_data3[[#This Row],[availability_365]]&lt;=240,"Medium Availability","High Availability"))</f>
        <v>Low Availability</v>
      </c>
      <c r="R112" s="6" t="str">
        <f t="shared" si="3"/>
        <v>Medium</v>
      </c>
      <c r="S112" s="6" t="str">
        <f>IF(airbnb_data3[[#This Row],[minimum_nights]]&lt;=3,"Short Stay",IF(airbnb_data3[[#This Row],[minimum_nights]]&lt;=7,"Medium Stay","Long Stay"))</f>
        <v>Short Stay</v>
      </c>
    </row>
    <row r="113" spans="1:19" x14ac:dyDescent="0.35">
      <c r="A113" t="s">
        <v>201</v>
      </c>
      <c r="B113" t="s">
        <v>202</v>
      </c>
      <c r="C113" t="s">
        <v>28</v>
      </c>
      <c r="D113">
        <v>42.645350999999998</v>
      </c>
      <c r="E113">
        <v>-73.753647000000001</v>
      </c>
      <c r="F113" t="s">
        <v>22</v>
      </c>
      <c r="G113">
        <v>1267</v>
      </c>
      <c r="H113">
        <v>1</v>
      </c>
      <c r="I113">
        <v>10</v>
      </c>
      <c r="J113" s="1">
        <v>45164</v>
      </c>
      <c r="K113">
        <v>0.2</v>
      </c>
      <c r="L113">
        <v>1</v>
      </c>
      <c r="M113">
        <v>365</v>
      </c>
      <c r="N113">
        <v>0</v>
      </c>
      <c r="O113" t="str">
        <f t="shared" si="2"/>
        <v>500+</v>
      </c>
      <c r="P113" t="str">
        <f>IF(airbnb_data3[[#This Row],[price]]&lt;=100,"Budget",
IF(airbnb_data3[[#This Row],[price]]&lt;=200,"Mid-range",
IF(airbnb_data3[[#This Row],[price]]&lt;=300,"Premium","Luxury")))</f>
        <v>Luxury</v>
      </c>
      <c r="Q113" t="str">
        <f>IF(airbnb_data3[[#This Row],[availability_365]]&lt;=120,"Low Availability",IF(airbnb_data3[[#This Row],[availability_365]]&lt;=240,"Medium Availability","High Availability"))</f>
        <v>High Availability</v>
      </c>
      <c r="R113" s="6" t="str">
        <f t="shared" si="3"/>
        <v>Medium</v>
      </c>
      <c r="S113" s="6" t="str">
        <f>IF(airbnb_data3[[#This Row],[minimum_nights]]&lt;=3,"Short Stay",IF(airbnb_data3[[#This Row],[minimum_nights]]&lt;=7,"Medium Stay","Long Stay"))</f>
        <v>Short Stay</v>
      </c>
    </row>
    <row r="114" spans="1:19" x14ac:dyDescent="0.35">
      <c r="A114" t="s">
        <v>203</v>
      </c>
      <c r="B114" t="s">
        <v>127</v>
      </c>
      <c r="C114" t="s">
        <v>28</v>
      </c>
      <c r="D114">
        <v>42.646250000000002</v>
      </c>
      <c r="E114">
        <v>-73.756630000000001</v>
      </c>
      <c r="F114" t="s">
        <v>22</v>
      </c>
      <c r="G114">
        <v>216</v>
      </c>
      <c r="H114">
        <v>14</v>
      </c>
      <c r="I114">
        <v>8</v>
      </c>
      <c r="J114" s="1">
        <v>45622</v>
      </c>
      <c r="K114">
        <v>0.17</v>
      </c>
      <c r="L114">
        <v>6</v>
      </c>
      <c r="M114">
        <v>166</v>
      </c>
      <c r="N114">
        <v>0</v>
      </c>
      <c r="O114" t="str">
        <f t="shared" si="2"/>
        <v>201-300</v>
      </c>
      <c r="P114" t="str">
        <f>IF(airbnb_data3[[#This Row],[price]]&lt;=100,"Budget",
IF(airbnb_data3[[#This Row],[price]]&lt;=200,"Mid-range",
IF(airbnb_data3[[#This Row],[price]]&lt;=300,"Premium","Luxury")))</f>
        <v>Premium</v>
      </c>
      <c r="Q114" t="str">
        <f>IF(airbnb_data3[[#This Row],[availability_365]]&lt;=120,"Low Availability",IF(airbnb_data3[[#This Row],[availability_365]]&lt;=240,"Medium Availability","High Availability"))</f>
        <v>Medium Availability</v>
      </c>
      <c r="R114" s="6" t="str">
        <f t="shared" si="3"/>
        <v>Medium</v>
      </c>
      <c r="S114" s="6" t="str">
        <f>IF(airbnb_data3[[#This Row],[minimum_nights]]&lt;=3,"Short Stay",IF(airbnb_data3[[#This Row],[minimum_nights]]&lt;=7,"Medium Stay","Long Stay"))</f>
        <v>Long Stay</v>
      </c>
    </row>
    <row r="115" spans="1:19" x14ac:dyDescent="0.35">
      <c r="A115" t="s">
        <v>204</v>
      </c>
      <c r="B115" t="s">
        <v>205</v>
      </c>
      <c r="C115" t="s">
        <v>117</v>
      </c>
      <c r="D115">
        <v>42.637454699999999</v>
      </c>
      <c r="E115">
        <v>-73.771664700000002</v>
      </c>
      <c r="F115" t="s">
        <v>22</v>
      </c>
      <c r="G115">
        <v>214</v>
      </c>
      <c r="H115">
        <v>5</v>
      </c>
      <c r="I115">
        <v>5</v>
      </c>
      <c r="J115" s="1">
        <v>45191</v>
      </c>
      <c r="K115">
        <v>0.1</v>
      </c>
      <c r="L115">
        <v>2</v>
      </c>
      <c r="M115">
        <v>357</v>
      </c>
      <c r="N115">
        <v>0</v>
      </c>
      <c r="O115" t="str">
        <f t="shared" si="2"/>
        <v>201-300</v>
      </c>
      <c r="P115" t="str">
        <f>IF(airbnb_data3[[#This Row],[price]]&lt;=100,"Budget",
IF(airbnb_data3[[#This Row],[price]]&lt;=200,"Mid-range",
IF(airbnb_data3[[#This Row],[price]]&lt;=300,"Premium","Luxury")))</f>
        <v>Premium</v>
      </c>
      <c r="Q115" t="str">
        <f>IF(airbnb_data3[[#This Row],[availability_365]]&lt;=120,"Low Availability",IF(airbnb_data3[[#This Row],[availability_365]]&lt;=240,"Medium Availability","High Availability"))</f>
        <v>High Availability</v>
      </c>
      <c r="R115" s="6" t="str">
        <f t="shared" si="3"/>
        <v>High</v>
      </c>
      <c r="S115" s="6" t="str">
        <f>IF(airbnb_data3[[#This Row],[minimum_nights]]&lt;=3,"Short Stay",IF(airbnb_data3[[#This Row],[minimum_nights]]&lt;=7,"Medium Stay","Long Stay"))</f>
        <v>Medium Stay</v>
      </c>
    </row>
    <row r="116" spans="1:19" x14ac:dyDescent="0.35">
      <c r="A116" t="s">
        <v>206</v>
      </c>
      <c r="B116" t="s">
        <v>205</v>
      </c>
      <c r="C116" t="s">
        <v>117</v>
      </c>
      <c r="D116">
        <v>42.637881899999996</v>
      </c>
      <c r="E116">
        <v>-73.771526899999998</v>
      </c>
      <c r="F116" t="s">
        <v>22</v>
      </c>
      <c r="G116">
        <v>176</v>
      </c>
      <c r="H116">
        <v>7</v>
      </c>
      <c r="I116">
        <v>2</v>
      </c>
      <c r="J116" s="1">
        <v>45516</v>
      </c>
      <c r="K116">
        <v>0.04</v>
      </c>
      <c r="L116">
        <v>2</v>
      </c>
      <c r="M116">
        <v>365</v>
      </c>
      <c r="N116">
        <v>0</v>
      </c>
      <c r="O116" t="str">
        <f t="shared" si="2"/>
        <v>101-200</v>
      </c>
      <c r="P116" t="str">
        <f>IF(airbnb_data3[[#This Row],[price]]&lt;=100,"Budget",
IF(airbnb_data3[[#This Row],[price]]&lt;=200,"Mid-range",
IF(airbnb_data3[[#This Row],[price]]&lt;=300,"Premium","Luxury")))</f>
        <v>Mid-range</v>
      </c>
      <c r="Q116" t="str">
        <f>IF(airbnb_data3[[#This Row],[availability_365]]&lt;=120,"Low Availability",IF(airbnb_data3[[#This Row],[availability_365]]&lt;=240,"Medium Availability","High Availability"))</f>
        <v>High Availability</v>
      </c>
      <c r="R116" s="6" t="str">
        <f t="shared" si="3"/>
        <v>High</v>
      </c>
      <c r="S116" s="6" t="str">
        <f>IF(airbnb_data3[[#This Row],[minimum_nights]]&lt;=3,"Short Stay",IF(airbnb_data3[[#This Row],[minimum_nights]]&lt;=7,"Medium Stay","Long Stay"))</f>
        <v>Medium Stay</v>
      </c>
    </row>
    <row r="117" spans="1:19" x14ac:dyDescent="0.35">
      <c r="A117" t="s">
        <v>209</v>
      </c>
      <c r="B117" t="s">
        <v>166</v>
      </c>
      <c r="C117" t="s">
        <v>25</v>
      </c>
      <c r="D117">
        <v>42.654057650371499</v>
      </c>
      <c r="E117">
        <v>-73.760712996295098</v>
      </c>
      <c r="F117" t="s">
        <v>22</v>
      </c>
      <c r="G117">
        <v>149</v>
      </c>
      <c r="H117">
        <v>1</v>
      </c>
      <c r="I117">
        <v>348</v>
      </c>
      <c r="J117" s="1">
        <v>46171</v>
      </c>
      <c r="K117">
        <v>7.47</v>
      </c>
      <c r="L117">
        <v>2</v>
      </c>
      <c r="M117">
        <v>315</v>
      </c>
      <c r="N117">
        <v>80</v>
      </c>
      <c r="O117" t="str">
        <f t="shared" si="2"/>
        <v>101-200</v>
      </c>
      <c r="P117" t="str">
        <f>IF(airbnb_data3[[#This Row],[price]]&lt;=100,"Budget",
IF(airbnb_data3[[#This Row],[price]]&lt;=200,"Mid-range",
IF(airbnb_data3[[#This Row],[price]]&lt;=300,"Premium","Luxury")))</f>
        <v>Mid-range</v>
      </c>
      <c r="Q117" t="str">
        <f>IF(airbnb_data3[[#This Row],[availability_365]]&lt;=120,"Low Availability",IF(airbnb_data3[[#This Row],[availability_365]]&lt;=240,"Medium Availability","High Availability"))</f>
        <v>High Availability</v>
      </c>
      <c r="R117" s="6" t="str">
        <f t="shared" si="3"/>
        <v>Medium</v>
      </c>
      <c r="S117" s="6" t="str">
        <f>IF(airbnb_data3[[#This Row],[minimum_nights]]&lt;=3,"Short Stay",IF(airbnb_data3[[#This Row],[minimum_nights]]&lt;=7,"Medium Stay","Long Stay"))</f>
        <v>Short Stay</v>
      </c>
    </row>
    <row r="118" spans="1:19" x14ac:dyDescent="0.35">
      <c r="A118" t="s">
        <v>210</v>
      </c>
      <c r="B118" t="s">
        <v>211</v>
      </c>
      <c r="C118" t="s">
        <v>40</v>
      </c>
      <c r="D118">
        <v>42.662300000000002</v>
      </c>
      <c r="E118">
        <v>-73.777000000000001</v>
      </c>
      <c r="F118" t="s">
        <v>22</v>
      </c>
      <c r="G118">
        <v>84</v>
      </c>
      <c r="H118">
        <v>31</v>
      </c>
      <c r="I118">
        <v>103</v>
      </c>
      <c r="J118" s="1">
        <v>45711</v>
      </c>
      <c r="K118">
        <v>2.44</v>
      </c>
      <c r="L118">
        <v>1</v>
      </c>
      <c r="M118">
        <v>166</v>
      </c>
      <c r="N118">
        <v>0</v>
      </c>
      <c r="O118" t="str">
        <f t="shared" si="2"/>
        <v>0-100</v>
      </c>
      <c r="P118" t="str">
        <f>IF(airbnb_data3[[#This Row],[price]]&lt;=100,"Budget",
IF(airbnb_data3[[#This Row],[price]]&lt;=200,"Mid-range",
IF(airbnb_data3[[#This Row],[price]]&lt;=300,"Premium","Luxury")))</f>
        <v>Budget</v>
      </c>
      <c r="Q118" t="str">
        <f>IF(airbnb_data3[[#This Row],[availability_365]]&lt;=120,"Low Availability",IF(airbnb_data3[[#This Row],[availability_365]]&lt;=240,"Medium Availability","High Availability"))</f>
        <v>Medium Availability</v>
      </c>
      <c r="R118" s="6" t="str">
        <f t="shared" si="3"/>
        <v>Medium</v>
      </c>
      <c r="S118" s="6" t="str">
        <f>IF(airbnb_data3[[#This Row],[minimum_nights]]&lt;=3,"Short Stay",IF(airbnb_data3[[#This Row],[minimum_nights]]&lt;=7,"Medium Stay","Long Stay"))</f>
        <v>Long Stay</v>
      </c>
    </row>
    <row r="119" spans="1:19" x14ac:dyDescent="0.35">
      <c r="A119" t="s">
        <v>212</v>
      </c>
      <c r="B119" t="s">
        <v>213</v>
      </c>
      <c r="C119" t="s">
        <v>28</v>
      </c>
      <c r="D119">
        <v>42.646850200000003</v>
      </c>
      <c r="E119">
        <v>-73.758725799999993</v>
      </c>
      <c r="F119" t="s">
        <v>22</v>
      </c>
      <c r="G119">
        <v>436</v>
      </c>
      <c r="H119">
        <v>2</v>
      </c>
      <c r="I119">
        <v>10</v>
      </c>
      <c r="J119" s="1">
        <v>46103</v>
      </c>
      <c r="K119">
        <v>0.22</v>
      </c>
      <c r="L119">
        <v>3</v>
      </c>
      <c r="M119">
        <v>122</v>
      </c>
      <c r="N119">
        <v>5</v>
      </c>
      <c r="O119" t="str">
        <f t="shared" si="2"/>
        <v>301-500</v>
      </c>
      <c r="P119" t="str">
        <f>IF(airbnb_data3[[#This Row],[price]]&lt;=100,"Budget",
IF(airbnb_data3[[#This Row],[price]]&lt;=200,"Mid-range",
IF(airbnb_data3[[#This Row],[price]]&lt;=300,"Premium","Luxury")))</f>
        <v>Luxury</v>
      </c>
      <c r="Q119" t="str">
        <f>IF(airbnb_data3[[#This Row],[availability_365]]&lt;=120,"Low Availability",IF(airbnb_data3[[#This Row],[availability_365]]&lt;=240,"Medium Availability","High Availability"))</f>
        <v>Medium Availability</v>
      </c>
      <c r="R119" s="6" t="str">
        <f t="shared" si="3"/>
        <v>Medium</v>
      </c>
      <c r="S119" s="6" t="str">
        <f>IF(airbnb_data3[[#This Row],[minimum_nights]]&lt;=3,"Short Stay",IF(airbnb_data3[[#This Row],[minimum_nights]]&lt;=7,"Medium Stay","Long Stay"))</f>
        <v>Short Stay</v>
      </c>
    </row>
    <row r="120" spans="1:19" x14ac:dyDescent="0.35">
      <c r="A120" t="s">
        <v>214</v>
      </c>
      <c r="B120" t="s">
        <v>215</v>
      </c>
      <c r="C120" t="s">
        <v>68</v>
      </c>
      <c r="D120">
        <v>42.670749999999998</v>
      </c>
      <c r="E120">
        <v>-73.797039999999996</v>
      </c>
      <c r="F120" t="s">
        <v>22</v>
      </c>
      <c r="G120">
        <v>290</v>
      </c>
      <c r="H120">
        <v>2</v>
      </c>
      <c r="I120">
        <v>6</v>
      </c>
      <c r="J120" s="1">
        <v>46015</v>
      </c>
      <c r="K120">
        <v>0.26</v>
      </c>
      <c r="L120">
        <v>1</v>
      </c>
      <c r="M120">
        <v>160</v>
      </c>
      <c r="N120">
        <v>2</v>
      </c>
      <c r="O120" t="str">
        <f t="shared" si="2"/>
        <v>201-300</v>
      </c>
      <c r="P120" t="str">
        <f>IF(airbnb_data3[[#This Row],[price]]&lt;=100,"Budget",
IF(airbnb_data3[[#This Row],[price]]&lt;=200,"Mid-range",
IF(airbnb_data3[[#This Row],[price]]&lt;=300,"Premium","Luxury")))</f>
        <v>Premium</v>
      </c>
      <c r="Q120" t="str">
        <f>IF(airbnb_data3[[#This Row],[availability_365]]&lt;=120,"Low Availability",IF(airbnb_data3[[#This Row],[availability_365]]&lt;=240,"Medium Availability","High Availability"))</f>
        <v>Medium Availability</v>
      </c>
      <c r="R120" s="6" t="str">
        <f t="shared" si="3"/>
        <v>Medium</v>
      </c>
      <c r="S120" s="6" t="str">
        <f>IF(airbnb_data3[[#This Row],[minimum_nights]]&lt;=3,"Short Stay",IF(airbnb_data3[[#This Row],[minimum_nights]]&lt;=7,"Medium Stay","Long Stay"))</f>
        <v>Short Stay</v>
      </c>
    </row>
    <row r="121" spans="1:19" x14ac:dyDescent="0.35">
      <c r="A121" t="s">
        <v>216</v>
      </c>
      <c r="B121" t="s">
        <v>217</v>
      </c>
      <c r="C121" t="s">
        <v>68</v>
      </c>
      <c r="D121">
        <v>42.674849999999999</v>
      </c>
      <c r="E121">
        <v>-73.798670000000001</v>
      </c>
      <c r="F121" t="s">
        <v>22</v>
      </c>
      <c r="G121">
        <v>145</v>
      </c>
      <c r="H121">
        <v>3</v>
      </c>
      <c r="I121">
        <v>9</v>
      </c>
      <c r="J121" s="1">
        <v>46050</v>
      </c>
      <c r="K121">
        <v>0.2</v>
      </c>
      <c r="L121">
        <v>1</v>
      </c>
      <c r="M121">
        <v>162</v>
      </c>
      <c r="N121">
        <v>6</v>
      </c>
      <c r="O121" t="str">
        <f t="shared" si="2"/>
        <v>101-200</v>
      </c>
      <c r="P121" t="str">
        <f>IF(airbnb_data3[[#This Row],[price]]&lt;=100,"Budget",
IF(airbnb_data3[[#This Row],[price]]&lt;=200,"Mid-range",
IF(airbnb_data3[[#This Row],[price]]&lt;=300,"Premium","Luxury")))</f>
        <v>Mid-range</v>
      </c>
      <c r="Q121" t="str">
        <f>IF(airbnb_data3[[#This Row],[availability_365]]&lt;=120,"Low Availability",IF(airbnb_data3[[#This Row],[availability_365]]&lt;=240,"Medium Availability","High Availability"))</f>
        <v>Medium Availability</v>
      </c>
      <c r="R121" s="6" t="str">
        <f t="shared" si="3"/>
        <v>Medium</v>
      </c>
      <c r="S121" s="6" t="str">
        <f>IF(airbnb_data3[[#This Row],[minimum_nights]]&lt;=3,"Short Stay",IF(airbnb_data3[[#This Row],[minimum_nights]]&lt;=7,"Medium Stay","Long Stay"))</f>
        <v>Short Stay</v>
      </c>
    </row>
    <row r="122" spans="1:19" x14ac:dyDescent="0.35">
      <c r="A122" t="s">
        <v>218</v>
      </c>
      <c r="B122" t="s">
        <v>127</v>
      </c>
      <c r="C122" t="s">
        <v>28</v>
      </c>
      <c r="D122">
        <v>42.645769999999999</v>
      </c>
      <c r="E122">
        <v>-73.758300000000006</v>
      </c>
      <c r="F122" t="s">
        <v>22</v>
      </c>
      <c r="G122">
        <v>232</v>
      </c>
      <c r="H122">
        <v>13</v>
      </c>
      <c r="I122">
        <v>10</v>
      </c>
      <c r="J122" s="1">
        <v>45928</v>
      </c>
      <c r="K122">
        <v>0.24</v>
      </c>
      <c r="L122">
        <v>6</v>
      </c>
      <c r="M122">
        <v>166</v>
      </c>
      <c r="N122">
        <v>2</v>
      </c>
      <c r="O122" t="str">
        <f t="shared" si="2"/>
        <v>201-300</v>
      </c>
      <c r="P122" t="str">
        <f>IF(airbnb_data3[[#This Row],[price]]&lt;=100,"Budget",
IF(airbnb_data3[[#This Row],[price]]&lt;=200,"Mid-range",
IF(airbnb_data3[[#This Row],[price]]&lt;=300,"Premium","Luxury")))</f>
        <v>Premium</v>
      </c>
      <c r="Q122" t="str">
        <f>IF(airbnb_data3[[#This Row],[availability_365]]&lt;=120,"Low Availability",IF(airbnb_data3[[#This Row],[availability_365]]&lt;=240,"Medium Availability","High Availability"))</f>
        <v>Medium Availability</v>
      </c>
      <c r="R122" s="6" t="str">
        <f t="shared" si="3"/>
        <v>High</v>
      </c>
      <c r="S122" s="6" t="str">
        <f>IF(airbnb_data3[[#This Row],[minimum_nights]]&lt;=3,"Short Stay",IF(airbnb_data3[[#This Row],[minimum_nights]]&lt;=7,"Medium Stay","Long Stay"))</f>
        <v>Long Stay</v>
      </c>
    </row>
    <row r="123" spans="1:19" x14ac:dyDescent="0.35">
      <c r="A123" t="s">
        <v>219</v>
      </c>
      <c r="B123" t="s">
        <v>95</v>
      </c>
      <c r="C123" t="s">
        <v>68</v>
      </c>
      <c r="D123">
        <v>42.672609999999999</v>
      </c>
      <c r="E123">
        <v>-73.792619999999999</v>
      </c>
      <c r="F123" t="s">
        <v>22</v>
      </c>
      <c r="G123">
        <v>228</v>
      </c>
      <c r="H123">
        <v>2</v>
      </c>
      <c r="I123">
        <v>75</v>
      </c>
      <c r="J123" s="1">
        <v>46157</v>
      </c>
      <c r="K123">
        <v>1.69</v>
      </c>
      <c r="L123">
        <v>14</v>
      </c>
      <c r="M123">
        <v>65</v>
      </c>
      <c r="N123">
        <v>10</v>
      </c>
      <c r="O123" t="str">
        <f t="shared" si="2"/>
        <v>201-300</v>
      </c>
      <c r="P123" t="str">
        <f>IF(airbnb_data3[[#This Row],[price]]&lt;=100,"Budget",
IF(airbnb_data3[[#This Row],[price]]&lt;=200,"Mid-range",
IF(airbnb_data3[[#This Row],[price]]&lt;=300,"Premium","Luxury")))</f>
        <v>Premium</v>
      </c>
      <c r="Q123" t="str">
        <f>IF(airbnb_data3[[#This Row],[availability_365]]&lt;=120,"Low Availability",IF(airbnb_data3[[#This Row],[availability_365]]&lt;=240,"Medium Availability","High Availability"))</f>
        <v>Low Availability</v>
      </c>
      <c r="R123" s="6" t="str">
        <f t="shared" si="3"/>
        <v>Medium</v>
      </c>
      <c r="S123" s="6" t="str">
        <f>IF(airbnb_data3[[#This Row],[minimum_nights]]&lt;=3,"Short Stay",IF(airbnb_data3[[#This Row],[minimum_nights]]&lt;=7,"Medium Stay","Long Stay"))</f>
        <v>Short Stay</v>
      </c>
    </row>
    <row r="124" spans="1:19" x14ac:dyDescent="0.35">
      <c r="A124" t="s">
        <v>220</v>
      </c>
      <c r="B124" t="s">
        <v>87</v>
      </c>
      <c r="C124" t="s">
        <v>21</v>
      </c>
      <c r="D124">
        <v>42.64564</v>
      </c>
      <c r="E124">
        <v>-73.752610000000004</v>
      </c>
      <c r="F124" t="s">
        <v>22</v>
      </c>
      <c r="G124">
        <v>155</v>
      </c>
      <c r="H124">
        <v>1</v>
      </c>
      <c r="I124">
        <v>114</v>
      </c>
      <c r="J124" s="1">
        <v>46168</v>
      </c>
      <c r="K124">
        <v>2.58</v>
      </c>
      <c r="L124">
        <v>11</v>
      </c>
      <c r="M124">
        <v>357</v>
      </c>
      <c r="N124">
        <v>33</v>
      </c>
      <c r="O124" t="str">
        <f t="shared" si="2"/>
        <v>101-200</v>
      </c>
      <c r="P124" t="str">
        <f>IF(airbnb_data3[[#This Row],[price]]&lt;=100,"Budget",
IF(airbnb_data3[[#This Row],[price]]&lt;=200,"Mid-range",
IF(airbnb_data3[[#This Row],[price]]&lt;=300,"Premium","Luxury")))</f>
        <v>Mid-range</v>
      </c>
      <c r="Q124" t="str">
        <f>IF(airbnb_data3[[#This Row],[availability_365]]&lt;=120,"Low Availability",IF(airbnb_data3[[#This Row],[availability_365]]&lt;=240,"Medium Availability","High Availability"))</f>
        <v>High Availability</v>
      </c>
      <c r="R124" s="6" t="str">
        <f t="shared" si="3"/>
        <v>Medium</v>
      </c>
      <c r="S124" s="6" t="str">
        <f>IF(airbnb_data3[[#This Row],[minimum_nights]]&lt;=3,"Short Stay",IF(airbnb_data3[[#This Row],[minimum_nights]]&lt;=7,"Medium Stay","Long Stay"))</f>
        <v>Short Stay</v>
      </c>
    </row>
    <row r="125" spans="1:19" x14ac:dyDescent="0.35">
      <c r="A125" t="s">
        <v>221</v>
      </c>
      <c r="B125" t="s">
        <v>33</v>
      </c>
      <c r="C125" t="s">
        <v>25</v>
      </c>
      <c r="D125">
        <v>42.65643</v>
      </c>
      <c r="E125">
        <v>-73.764020000000002</v>
      </c>
      <c r="F125" t="s">
        <v>31</v>
      </c>
      <c r="G125">
        <v>30</v>
      </c>
      <c r="H125">
        <v>30</v>
      </c>
      <c r="I125">
        <v>3</v>
      </c>
      <c r="J125" s="1">
        <v>45570</v>
      </c>
      <c r="K125">
        <v>7.0000000000000007E-2</v>
      </c>
      <c r="L125">
        <v>1</v>
      </c>
      <c r="M125">
        <v>319</v>
      </c>
      <c r="N125">
        <v>0</v>
      </c>
      <c r="O125" t="str">
        <f t="shared" si="2"/>
        <v>0-100</v>
      </c>
      <c r="P125" t="str">
        <f>IF(airbnb_data3[[#This Row],[price]]&lt;=100,"Budget",
IF(airbnb_data3[[#This Row],[price]]&lt;=200,"Mid-range",
IF(airbnb_data3[[#This Row],[price]]&lt;=300,"Premium","Luxury")))</f>
        <v>Budget</v>
      </c>
      <c r="Q125" t="str">
        <f>IF(airbnb_data3[[#This Row],[availability_365]]&lt;=120,"Low Availability",IF(airbnb_data3[[#This Row],[availability_365]]&lt;=240,"Medium Availability","High Availability"))</f>
        <v>High Availability</v>
      </c>
      <c r="R125" s="6" t="str">
        <f t="shared" si="3"/>
        <v>Medium</v>
      </c>
      <c r="S125" s="6" t="str">
        <f>IF(airbnb_data3[[#This Row],[minimum_nights]]&lt;=3,"Short Stay",IF(airbnb_data3[[#This Row],[minimum_nights]]&lt;=7,"Medium Stay","Long Stay"))</f>
        <v>Long Stay</v>
      </c>
    </row>
    <row r="126" spans="1:19" x14ac:dyDescent="0.35">
      <c r="A126" t="s">
        <v>222</v>
      </c>
      <c r="B126" t="s">
        <v>95</v>
      </c>
      <c r="C126" t="s">
        <v>47</v>
      </c>
      <c r="D126">
        <v>42.660690000000002</v>
      </c>
      <c r="E126">
        <v>-73.785550000000001</v>
      </c>
      <c r="F126" t="s">
        <v>22</v>
      </c>
      <c r="G126">
        <v>403</v>
      </c>
      <c r="H126">
        <v>1</v>
      </c>
      <c r="I126">
        <v>46</v>
      </c>
      <c r="J126" s="1">
        <v>45718</v>
      </c>
      <c r="K126">
        <v>1.05</v>
      </c>
      <c r="L126">
        <v>14</v>
      </c>
      <c r="M126">
        <v>66</v>
      </c>
      <c r="N126">
        <v>0</v>
      </c>
      <c r="O126" t="str">
        <f t="shared" si="2"/>
        <v>301-500</v>
      </c>
      <c r="P126" t="str">
        <f>IF(airbnb_data3[[#This Row],[price]]&lt;=100,"Budget",
IF(airbnb_data3[[#This Row],[price]]&lt;=200,"Mid-range",
IF(airbnb_data3[[#This Row],[price]]&lt;=300,"Premium","Luxury")))</f>
        <v>Luxury</v>
      </c>
      <c r="Q126" t="str">
        <f>IF(airbnb_data3[[#This Row],[availability_365]]&lt;=120,"Low Availability",IF(airbnb_data3[[#This Row],[availability_365]]&lt;=240,"Medium Availability","High Availability"))</f>
        <v>Low Availability</v>
      </c>
      <c r="R126" s="6" t="str">
        <f t="shared" si="3"/>
        <v>Medium</v>
      </c>
      <c r="S126" s="6" t="str">
        <f>IF(airbnb_data3[[#This Row],[minimum_nights]]&lt;=3,"Short Stay",IF(airbnb_data3[[#This Row],[minimum_nights]]&lt;=7,"Medium Stay","Long Stay"))</f>
        <v>Short Stay</v>
      </c>
    </row>
    <row r="127" spans="1:19" x14ac:dyDescent="0.35">
      <c r="A127" t="s">
        <v>223</v>
      </c>
      <c r="B127" t="s">
        <v>66</v>
      </c>
      <c r="C127" t="s">
        <v>51</v>
      </c>
      <c r="D127">
        <v>42.654317800000001</v>
      </c>
      <c r="E127">
        <v>-73.781822199999993</v>
      </c>
      <c r="F127" t="s">
        <v>31</v>
      </c>
      <c r="G127">
        <v>86</v>
      </c>
      <c r="H127">
        <v>2</v>
      </c>
      <c r="I127">
        <v>47</v>
      </c>
      <c r="J127" s="1">
        <v>46121</v>
      </c>
      <c r="K127">
        <v>1.06</v>
      </c>
      <c r="L127">
        <v>8</v>
      </c>
      <c r="M127">
        <v>324</v>
      </c>
      <c r="N127">
        <v>9</v>
      </c>
      <c r="O127" t="str">
        <f t="shared" si="2"/>
        <v>0-100</v>
      </c>
      <c r="P127" t="str">
        <f>IF(airbnb_data3[[#This Row],[price]]&lt;=100,"Budget",
IF(airbnb_data3[[#This Row],[price]]&lt;=200,"Mid-range",
IF(airbnb_data3[[#This Row],[price]]&lt;=300,"Premium","Luxury")))</f>
        <v>Budget</v>
      </c>
      <c r="Q127" t="str">
        <f>IF(airbnb_data3[[#This Row],[availability_365]]&lt;=120,"Low Availability",IF(airbnb_data3[[#This Row],[availability_365]]&lt;=240,"Medium Availability","High Availability"))</f>
        <v>High Availability</v>
      </c>
      <c r="R127" s="6" t="str">
        <f t="shared" si="3"/>
        <v>Medium</v>
      </c>
      <c r="S127" s="6" t="str">
        <f>IF(airbnb_data3[[#This Row],[minimum_nights]]&lt;=3,"Short Stay",IF(airbnb_data3[[#This Row],[minimum_nights]]&lt;=7,"Medium Stay","Long Stay"))</f>
        <v>Short Stay</v>
      </c>
    </row>
    <row r="128" spans="1:19" x14ac:dyDescent="0.35">
      <c r="A128" t="s">
        <v>224</v>
      </c>
      <c r="B128" t="s">
        <v>63</v>
      </c>
      <c r="C128" t="s">
        <v>64</v>
      </c>
      <c r="D128">
        <v>42.6496</v>
      </c>
      <c r="E128">
        <v>-73.767920000000004</v>
      </c>
      <c r="F128" t="s">
        <v>22</v>
      </c>
      <c r="G128">
        <v>147</v>
      </c>
      <c r="H128">
        <v>2</v>
      </c>
      <c r="I128">
        <v>47</v>
      </c>
      <c r="J128" s="1">
        <v>46167</v>
      </c>
      <c r="K128">
        <v>1.22</v>
      </c>
      <c r="L128">
        <v>2</v>
      </c>
      <c r="M128">
        <v>355</v>
      </c>
      <c r="N128">
        <v>16</v>
      </c>
      <c r="O128" t="str">
        <f t="shared" si="2"/>
        <v>101-200</v>
      </c>
      <c r="P128" t="str">
        <f>IF(airbnb_data3[[#This Row],[price]]&lt;=100,"Budget",
IF(airbnb_data3[[#This Row],[price]]&lt;=200,"Mid-range",
IF(airbnb_data3[[#This Row],[price]]&lt;=300,"Premium","Luxury")))</f>
        <v>Mid-range</v>
      </c>
      <c r="Q128" t="str">
        <f>IF(airbnb_data3[[#This Row],[availability_365]]&lt;=120,"Low Availability",IF(airbnb_data3[[#This Row],[availability_365]]&lt;=240,"Medium Availability","High Availability"))</f>
        <v>High Availability</v>
      </c>
      <c r="R128" s="6" t="str">
        <f t="shared" si="3"/>
        <v>Medium</v>
      </c>
      <c r="S128" s="6" t="str">
        <f>IF(airbnb_data3[[#This Row],[minimum_nights]]&lt;=3,"Short Stay",IF(airbnb_data3[[#This Row],[minimum_nights]]&lt;=7,"Medium Stay","Long Stay"))</f>
        <v>Short Stay</v>
      </c>
    </row>
    <row r="129" spans="1:19" x14ac:dyDescent="0.35">
      <c r="A129" t="s">
        <v>225</v>
      </c>
      <c r="B129" t="s">
        <v>42</v>
      </c>
      <c r="C129" t="s">
        <v>25</v>
      </c>
      <c r="D129">
        <v>42.652589999999996</v>
      </c>
      <c r="E129">
        <v>-73.767319999999998</v>
      </c>
      <c r="F129" t="s">
        <v>31</v>
      </c>
      <c r="G129">
        <v>55</v>
      </c>
      <c r="H129">
        <v>20</v>
      </c>
      <c r="I129">
        <v>22</v>
      </c>
      <c r="J129" s="1">
        <v>46147</v>
      </c>
      <c r="K129">
        <v>0.52</v>
      </c>
      <c r="L129">
        <v>2</v>
      </c>
      <c r="M129">
        <v>241</v>
      </c>
      <c r="N129">
        <v>4</v>
      </c>
      <c r="O129" t="str">
        <f t="shared" si="2"/>
        <v>0-100</v>
      </c>
      <c r="P129" t="str">
        <f>IF(airbnb_data3[[#This Row],[price]]&lt;=100,"Budget",
IF(airbnb_data3[[#This Row],[price]]&lt;=200,"Mid-range",
IF(airbnb_data3[[#This Row],[price]]&lt;=300,"Premium","Luxury")))</f>
        <v>Budget</v>
      </c>
      <c r="Q129" t="str">
        <f>IF(airbnb_data3[[#This Row],[availability_365]]&lt;=120,"Low Availability",IF(airbnb_data3[[#This Row],[availability_365]]&lt;=240,"Medium Availability","High Availability"))</f>
        <v>High Availability</v>
      </c>
      <c r="R129" s="6" t="str">
        <f t="shared" si="3"/>
        <v>Medium</v>
      </c>
      <c r="S129" s="6" t="str">
        <f>IF(airbnb_data3[[#This Row],[minimum_nights]]&lt;=3,"Short Stay",IF(airbnb_data3[[#This Row],[minimum_nights]]&lt;=7,"Medium Stay","Long Stay"))</f>
        <v>Long Stay</v>
      </c>
    </row>
    <row r="130" spans="1:19" x14ac:dyDescent="0.35">
      <c r="A130" t="s">
        <v>226</v>
      </c>
      <c r="B130" t="s">
        <v>33</v>
      </c>
      <c r="C130" t="s">
        <v>25</v>
      </c>
      <c r="D130">
        <v>42.655340000000002</v>
      </c>
      <c r="E130">
        <v>-73.764610000000005</v>
      </c>
      <c r="F130" t="s">
        <v>22</v>
      </c>
      <c r="G130">
        <v>104</v>
      </c>
      <c r="H130">
        <v>7</v>
      </c>
      <c r="I130">
        <v>15</v>
      </c>
      <c r="J130" s="1">
        <v>46068</v>
      </c>
      <c r="K130">
        <v>0.35</v>
      </c>
      <c r="L130">
        <v>11</v>
      </c>
      <c r="M130">
        <v>312</v>
      </c>
      <c r="N130">
        <v>1</v>
      </c>
      <c r="O130" t="str">
        <f t="shared" ref="O130:O193" si="4">IF(G130&lt;=100,"0-100",
IF(G130&lt;=200,"101-200",
IF(G130&lt;=300,"201-300",
IF(G130&lt;=500,"301-500","500+"))))</f>
        <v>101-200</v>
      </c>
      <c r="P130" t="str">
        <f>IF(airbnb_data3[[#This Row],[price]]&lt;=100,"Budget",
IF(airbnb_data3[[#This Row],[price]]&lt;=200,"Mid-range",
IF(airbnb_data3[[#This Row],[price]]&lt;=300,"Premium","Luxury")))</f>
        <v>Mid-range</v>
      </c>
      <c r="Q130" t="str">
        <f>IF(airbnb_data3[[#This Row],[availability_365]]&lt;=120,"Low Availability",IF(airbnb_data3[[#This Row],[availability_365]]&lt;=240,"Medium Availability","High Availability"))</f>
        <v>High Availability</v>
      </c>
      <c r="R130" s="6" t="str">
        <f t="shared" ref="R130:R193" si="5">IF(R131&lt;=25,"Low",IF(I132&lt;=100,"Medium","High"))</f>
        <v>Medium</v>
      </c>
      <c r="S130" s="6" t="str">
        <f>IF(airbnb_data3[[#This Row],[minimum_nights]]&lt;=3,"Short Stay",IF(airbnb_data3[[#This Row],[minimum_nights]]&lt;=7,"Medium Stay","Long Stay"))</f>
        <v>Medium Stay</v>
      </c>
    </row>
    <row r="131" spans="1:19" x14ac:dyDescent="0.35">
      <c r="A131" t="s">
        <v>227</v>
      </c>
      <c r="B131" t="s">
        <v>95</v>
      </c>
      <c r="C131" t="s">
        <v>68</v>
      </c>
      <c r="D131">
        <v>42.672609999999999</v>
      </c>
      <c r="E131">
        <v>-73.792619999999999</v>
      </c>
      <c r="F131" t="s">
        <v>22</v>
      </c>
      <c r="G131">
        <v>249</v>
      </c>
      <c r="H131">
        <v>2</v>
      </c>
      <c r="I131">
        <v>70</v>
      </c>
      <c r="J131" s="1">
        <v>46148</v>
      </c>
      <c r="K131">
        <v>1.74</v>
      </c>
      <c r="L131">
        <v>14</v>
      </c>
      <c r="M131">
        <v>36</v>
      </c>
      <c r="N131">
        <v>18</v>
      </c>
      <c r="O131" t="str">
        <f t="shared" si="4"/>
        <v>201-300</v>
      </c>
      <c r="P131" t="str">
        <f>IF(airbnb_data3[[#This Row],[price]]&lt;=100,"Budget",
IF(airbnb_data3[[#This Row],[price]]&lt;=200,"Mid-range",
IF(airbnb_data3[[#This Row],[price]]&lt;=300,"Premium","Luxury")))</f>
        <v>Premium</v>
      </c>
      <c r="Q131" t="str">
        <f>IF(airbnb_data3[[#This Row],[availability_365]]&lt;=120,"Low Availability",IF(airbnb_data3[[#This Row],[availability_365]]&lt;=240,"Medium Availability","High Availability"))</f>
        <v>Low Availability</v>
      </c>
      <c r="R131" s="6" t="str">
        <f t="shared" si="5"/>
        <v>Medium</v>
      </c>
      <c r="S131" s="6" t="str">
        <f>IF(airbnb_data3[[#This Row],[minimum_nights]]&lt;=3,"Short Stay",IF(airbnb_data3[[#This Row],[minimum_nights]]&lt;=7,"Medium Stay","Long Stay"))</f>
        <v>Short Stay</v>
      </c>
    </row>
    <row r="132" spans="1:19" x14ac:dyDescent="0.35">
      <c r="A132" t="s">
        <v>228</v>
      </c>
      <c r="B132" t="s">
        <v>182</v>
      </c>
      <c r="C132" t="s">
        <v>25</v>
      </c>
      <c r="D132">
        <v>42.654049999999998</v>
      </c>
      <c r="E132">
        <v>-73.769530000000003</v>
      </c>
      <c r="F132" t="s">
        <v>22</v>
      </c>
      <c r="G132">
        <v>183</v>
      </c>
      <c r="H132">
        <v>1</v>
      </c>
      <c r="I132">
        <v>50</v>
      </c>
      <c r="J132" s="1">
        <v>46152</v>
      </c>
      <c r="K132">
        <v>1.17</v>
      </c>
      <c r="L132">
        <v>16</v>
      </c>
      <c r="M132">
        <v>259</v>
      </c>
      <c r="N132">
        <v>5</v>
      </c>
      <c r="O132" t="str">
        <f t="shared" si="4"/>
        <v>101-200</v>
      </c>
      <c r="P132" t="str">
        <f>IF(airbnb_data3[[#This Row],[price]]&lt;=100,"Budget",
IF(airbnb_data3[[#This Row],[price]]&lt;=200,"Mid-range",
IF(airbnb_data3[[#This Row],[price]]&lt;=300,"Premium","Luxury")))</f>
        <v>Mid-range</v>
      </c>
      <c r="Q132" t="str">
        <f>IF(airbnb_data3[[#This Row],[availability_365]]&lt;=120,"Low Availability",IF(airbnb_data3[[#This Row],[availability_365]]&lt;=240,"Medium Availability","High Availability"))</f>
        <v>High Availability</v>
      </c>
      <c r="R132" s="6" t="str">
        <f t="shared" si="5"/>
        <v>Medium</v>
      </c>
      <c r="S132" s="6" t="str">
        <f>IF(airbnb_data3[[#This Row],[minimum_nights]]&lt;=3,"Short Stay",IF(airbnb_data3[[#This Row],[minimum_nights]]&lt;=7,"Medium Stay","Long Stay"))</f>
        <v>Short Stay</v>
      </c>
    </row>
    <row r="133" spans="1:19" x14ac:dyDescent="0.35">
      <c r="A133" t="s">
        <v>229</v>
      </c>
      <c r="B133" t="s">
        <v>230</v>
      </c>
      <c r="C133" t="s">
        <v>47</v>
      </c>
      <c r="D133">
        <v>42.661169999999998</v>
      </c>
      <c r="E133">
        <v>-73.790909999999997</v>
      </c>
      <c r="F133" t="s">
        <v>31</v>
      </c>
      <c r="G133">
        <v>115</v>
      </c>
      <c r="H133">
        <v>1</v>
      </c>
      <c r="I133">
        <v>44</v>
      </c>
      <c r="J133" s="1">
        <v>46159</v>
      </c>
      <c r="K133">
        <v>1.02</v>
      </c>
      <c r="L133">
        <v>2</v>
      </c>
      <c r="M133">
        <v>10</v>
      </c>
      <c r="N133">
        <v>13</v>
      </c>
      <c r="O133" t="str">
        <f t="shared" si="4"/>
        <v>101-200</v>
      </c>
      <c r="P133" t="str">
        <f>IF(airbnb_data3[[#This Row],[price]]&lt;=100,"Budget",
IF(airbnb_data3[[#This Row],[price]]&lt;=200,"Mid-range",
IF(airbnb_data3[[#This Row],[price]]&lt;=300,"Premium","Luxury")))</f>
        <v>Mid-range</v>
      </c>
      <c r="Q133" t="str">
        <f>IF(airbnb_data3[[#This Row],[availability_365]]&lt;=120,"Low Availability",IF(airbnb_data3[[#This Row],[availability_365]]&lt;=240,"Medium Availability","High Availability"))</f>
        <v>Low Availability</v>
      </c>
      <c r="R133" s="6" t="str">
        <f t="shared" si="5"/>
        <v>Medium</v>
      </c>
      <c r="S133" s="6" t="str">
        <f>IF(airbnb_data3[[#This Row],[minimum_nights]]&lt;=3,"Short Stay",IF(airbnb_data3[[#This Row],[minimum_nights]]&lt;=7,"Medium Stay","Long Stay"))</f>
        <v>Short Stay</v>
      </c>
    </row>
    <row r="134" spans="1:19" x14ac:dyDescent="0.35">
      <c r="A134" t="s">
        <v>231</v>
      </c>
      <c r="B134" t="s">
        <v>232</v>
      </c>
      <c r="C134" t="s">
        <v>34</v>
      </c>
      <c r="D134">
        <v>42.6601</v>
      </c>
      <c r="E134">
        <v>-73.807190000000006</v>
      </c>
      <c r="F134" t="s">
        <v>22</v>
      </c>
      <c r="G134">
        <v>91</v>
      </c>
      <c r="H134">
        <v>4</v>
      </c>
      <c r="I134">
        <v>78</v>
      </c>
      <c r="J134" s="1">
        <v>46173</v>
      </c>
      <c r="K134">
        <v>1.85</v>
      </c>
      <c r="L134">
        <v>1</v>
      </c>
      <c r="M134">
        <v>231</v>
      </c>
      <c r="N134">
        <v>15</v>
      </c>
      <c r="O134" t="str">
        <f t="shared" si="4"/>
        <v>0-100</v>
      </c>
      <c r="P134" t="str">
        <f>IF(airbnb_data3[[#This Row],[price]]&lt;=100,"Budget",
IF(airbnb_data3[[#This Row],[price]]&lt;=200,"Mid-range",
IF(airbnb_data3[[#This Row],[price]]&lt;=300,"Premium","Luxury")))</f>
        <v>Budget</v>
      </c>
      <c r="Q134" t="str">
        <f>IF(airbnb_data3[[#This Row],[availability_365]]&lt;=120,"Low Availability",IF(airbnb_data3[[#This Row],[availability_365]]&lt;=240,"Medium Availability","High Availability"))</f>
        <v>Medium Availability</v>
      </c>
      <c r="R134" s="6" t="str">
        <f t="shared" si="5"/>
        <v>Medium</v>
      </c>
      <c r="S134" s="6" t="str">
        <f>IF(airbnb_data3[[#This Row],[minimum_nights]]&lt;=3,"Short Stay",IF(airbnb_data3[[#This Row],[minimum_nights]]&lt;=7,"Medium Stay","Long Stay"))</f>
        <v>Medium Stay</v>
      </c>
    </row>
    <row r="135" spans="1:19" x14ac:dyDescent="0.35">
      <c r="A135" t="s">
        <v>233</v>
      </c>
      <c r="B135" t="s">
        <v>234</v>
      </c>
      <c r="C135" t="s">
        <v>34</v>
      </c>
      <c r="D135">
        <v>42.662979999999997</v>
      </c>
      <c r="E135">
        <v>-73.813609999999997</v>
      </c>
      <c r="F135" t="s">
        <v>31</v>
      </c>
      <c r="G135">
        <v>78</v>
      </c>
      <c r="H135">
        <v>1</v>
      </c>
      <c r="I135">
        <v>62</v>
      </c>
      <c r="J135" s="1">
        <v>46165</v>
      </c>
      <c r="K135">
        <v>1.53</v>
      </c>
      <c r="L135">
        <v>1</v>
      </c>
      <c r="M135">
        <v>164</v>
      </c>
      <c r="N135">
        <v>42</v>
      </c>
      <c r="O135" t="str">
        <f t="shared" si="4"/>
        <v>0-100</v>
      </c>
      <c r="P135" t="str">
        <f>IF(airbnb_data3[[#This Row],[price]]&lt;=100,"Budget",
IF(airbnb_data3[[#This Row],[price]]&lt;=200,"Mid-range",
IF(airbnb_data3[[#This Row],[price]]&lt;=300,"Premium","Luxury")))</f>
        <v>Budget</v>
      </c>
      <c r="Q135" t="str">
        <f>IF(airbnb_data3[[#This Row],[availability_365]]&lt;=120,"Low Availability",IF(airbnb_data3[[#This Row],[availability_365]]&lt;=240,"Medium Availability","High Availability"))</f>
        <v>Medium Availability</v>
      </c>
      <c r="R135" s="6" t="str">
        <f t="shared" si="5"/>
        <v>Medium</v>
      </c>
      <c r="S135" s="6" t="str">
        <f>IF(airbnb_data3[[#This Row],[minimum_nights]]&lt;=3,"Short Stay",IF(airbnb_data3[[#This Row],[minimum_nights]]&lt;=7,"Medium Stay","Long Stay"))</f>
        <v>Short Stay</v>
      </c>
    </row>
    <row r="136" spans="1:19" x14ac:dyDescent="0.35">
      <c r="A136" t="s">
        <v>235</v>
      </c>
      <c r="B136" t="s">
        <v>33</v>
      </c>
      <c r="C136" t="s">
        <v>21</v>
      </c>
      <c r="D136">
        <v>42.656529999999997</v>
      </c>
      <c r="E136">
        <v>-73.762230000000002</v>
      </c>
      <c r="F136" t="s">
        <v>22</v>
      </c>
      <c r="G136">
        <v>81</v>
      </c>
      <c r="H136">
        <v>30</v>
      </c>
      <c r="I136">
        <v>3</v>
      </c>
      <c r="J136" s="1">
        <v>45318</v>
      </c>
      <c r="K136">
        <v>0.09</v>
      </c>
      <c r="L136">
        <v>11</v>
      </c>
      <c r="M136">
        <v>364</v>
      </c>
      <c r="N136">
        <v>0</v>
      </c>
      <c r="O136" t="str">
        <f t="shared" si="4"/>
        <v>0-100</v>
      </c>
      <c r="P136" t="str">
        <f>IF(airbnb_data3[[#This Row],[price]]&lt;=100,"Budget",
IF(airbnb_data3[[#This Row],[price]]&lt;=200,"Mid-range",
IF(airbnb_data3[[#This Row],[price]]&lt;=300,"Premium","Luxury")))</f>
        <v>Budget</v>
      </c>
      <c r="Q136" t="str">
        <f>IF(airbnb_data3[[#This Row],[availability_365]]&lt;=120,"Low Availability",IF(airbnb_data3[[#This Row],[availability_365]]&lt;=240,"Medium Availability","High Availability"))</f>
        <v>High Availability</v>
      </c>
      <c r="R136" s="6" t="str">
        <f t="shared" si="5"/>
        <v>Medium</v>
      </c>
      <c r="S136" s="6" t="str">
        <f>IF(airbnb_data3[[#This Row],[minimum_nights]]&lt;=3,"Short Stay",IF(airbnb_data3[[#This Row],[minimum_nights]]&lt;=7,"Medium Stay","Long Stay"))</f>
        <v>Long Stay</v>
      </c>
    </row>
    <row r="137" spans="1:19" x14ac:dyDescent="0.35">
      <c r="A137" t="s">
        <v>236</v>
      </c>
      <c r="B137" t="s">
        <v>33</v>
      </c>
      <c r="C137" t="s">
        <v>25</v>
      </c>
      <c r="D137">
        <v>42.653219999999997</v>
      </c>
      <c r="E137">
        <v>-73.76249</v>
      </c>
      <c r="F137" t="s">
        <v>22</v>
      </c>
      <c r="G137">
        <v>87</v>
      </c>
      <c r="H137">
        <v>30</v>
      </c>
      <c r="I137">
        <v>5</v>
      </c>
      <c r="J137" s="1">
        <v>46022</v>
      </c>
      <c r="K137">
        <v>0.15</v>
      </c>
      <c r="L137">
        <v>11</v>
      </c>
      <c r="M137">
        <v>354</v>
      </c>
      <c r="N137">
        <v>1</v>
      </c>
      <c r="O137" t="str">
        <f t="shared" si="4"/>
        <v>0-100</v>
      </c>
      <c r="P137" t="str">
        <f>IF(airbnb_data3[[#This Row],[price]]&lt;=100,"Budget",
IF(airbnb_data3[[#This Row],[price]]&lt;=200,"Mid-range",
IF(airbnb_data3[[#This Row],[price]]&lt;=300,"Premium","Luxury")))</f>
        <v>Budget</v>
      </c>
      <c r="Q137" t="str">
        <f>IF(airbnb_data3[[#This Row],[availability_365]]&lt;=120,"Low Availability",IF(airbnb_data3[[#This Row],[availability_365]]&lt;=240,"Medium Availability","High Availability"))</f>
        <v>High Availability</v>
      </c>
      <c r="R137" s="6" t="str">
        <f t="shared" si="5"/>
        <v>High</v>
      </c>
      <c r="S137" s="6" t="str">
        <f>IF(airbnb_data3[[#This Row],[minimum_nights]]&lt;=3,"Short Stay",IF(airbnb_data3[[#This Row],[minimum_nights]]&lt;=7,"Medium Stay","Long Stay"))</f>
        <v>Long Stay</v>
      </c>
    </row>
    <row r="138" spans="1:19" x14ac:dyDescent="0.35">
      <c r="A138" t="s">
        <v>237</v>
      </c>
      <c r="B138" t="s">
        <v>238</v>
      </c>
      <c r="C138" t="s">
        <v>54</v>
      </c>
      <c r="D138">
        <v>42.659150313354701</v>
      </c>
      <c r="E138">
        <v>-73.754319325089398</v>
      </c>
      <c r="F138" t="s">
        <v>22</v>
      </c>
      <c r="G138">
        <v>149</v>
      </c>
      <c r="H138">
        <v>2</v>
      </c>
      <c r="I138">
        <v>43</v>
      </c>
      <c r="J138" s="1">
        <v>46131</v>
      </c>
      <c r="K138">
        <v>1.05</v>
      </c>
      <c r="L138">
        <v>1</v>
      </c>
      <c r="M138">
        <v>302</v>
      </c>
      <c r="N138">
        <v>7</v>
      </c>
      <c r="O138" t="str">
        <f t="shared" si="4"/>
        <v>101-200</v>
      </c>
      <c r="P138" t="str">
        <f>IF(airbnb_data3[[#This Row],[price]]&lt;=100,"Budget",
IF(airbnb_data3[[#This Row],[price]]&lt;=200,"Mid-range",
IF(airbnb_data3[[#This Row],[price]]&lt;=300,"Premium","Luxury")))</f>
        <v>Mid-range</v>
      </c>
      <c r="Q138" t="str">
        <f>IF(airbnb_data3[[#This Row],[availability_365]]&lt;=120,"Low Availability",IF(airbnb_data3[[#This Row],[availability_365]]&lt;=240,"Medium Availability","High Availability"))</f>
        <v>High Availability</v>
      </c>
      <c r="R138" s="6" t="str">
        <f t="shared" si="5"/>
        <v>Medium</v>
      </c>
      <c r="S138" s="6" t="str">
        <f>IF(airbnb_data3[[#This Row],[minimum_nights]]&lt;=3,"Short Stay",IF(airbnb_data3[[#This Row],[minimum_nights]]&lt;=7,"Medium Stay","Long Stay"))</f>
        <v>Short Stay</v>
      </c>
    </row>
    <row r="139" spans="1:19" x14ac:dyDescent="0.35">
      <c r="A139" t="s">
        <v>239</v>
      </c>
      <c r="B139" t="s">
        <v>122</v>
      </c>
      <c r="C139" t="s">
        <v>34</v>
      </c>
      <c r="D139">
        <v>42.665300000000002</v>
      </c>
      <c r="E139">
        <v>-73.794300000000007</v>
      </c>
      <c r="F139" t="s">
        <v>22</v>
      </c>
      <c r="G139">
        <v>292</v>
      </c>
      <c r="H139">
        <v>1</v>
      </c>
      <c r="I139">
        <v>150</v>
      </c>
      <c r="J139" s="1">
        <v>46173</v>
      </c>
      <c r="K139">
        <v>3.73</v>
      </c>
      <c r="L139">
        <v>21</v>
      </c>
      <c r="M139">
        <v>105</v>
      </c>
      <c r="N139">
        <v>38</v>
      </c>
      <c r="O139" t="str">
        <f t="shared" si="4"/>
        <v>201-300</v>
      </c>
      <c r="P139" t="str">
        <f>IF(airbnb_data3[[#This Row],[price]]&lt;=100,"Budget",
IF(airbnb_data3[[#This Row],[price]]&lt;=200,"Mid-range",
IF(airbnb_data3[[#This Row],[price]]&lt;=300,"Premium","Luxury")))</f>
        <v>Premium</v>
      </c>
      <c r="Q139" t="str">
        <f>IF(airbnb_data3[[#This Row],[availability_365]]&lt;=120,"Low Availability",IF(airbnb_data3[[#This Row],[availability_365]]&lt;=240,"Medium Availability","High Availability"))</f>
        <v>Low Availability</v>
      </c>
      <c r="R139" s="6" t="str">
        <f t="shared" si="5"/>
        <v>Medium</v>
      </c>
      <c r="S139" s="6" t="str">
        <f>IF(airbnb_data3[[#This Row],[minimum_nights]]&lt;=3,"Short Stay",IF(airbnb_data3[[#This Row],[minimum_nights]]&lt;=7,"Medium Stay","Long Stay"))</f>
        <v>Short Stay</v>
      </c>
    </row>
    <row r="140" spans="1:19" x14ac:dyDescent="0.35">
      <c r="A140" t="s">
        <v>240</v>
      </c>
      <c r="B140" t="s">
        <v>241</v>
      </c>
      <c r="C140" t="s">
        <v>54</v>
      </c>
      <c r="D140">
        <v>42.672829999999998</v>
      </c>
      <c r="E140">
        <v>-73.773669999999996</v>
      </c>
      <c r="F140" t="s">
        <v>22</v>
      </c>
      <c r="G140">
        <v>137</v>
      </c>
      <c r="H140">
        <v>1</v>
      </c>
      <c r="I140">
        <v>24</v>
      </c>
      <c r="J140" s="1">
        <v>46109</v>
      </c>
      <c r="K140">
        <v>0.65</v>
      </c>
      <c r="L140">
        <v>1</v>
      </c>
      <c r="M140">
        <v>255</v>
      </c>
      <c r="N140">
        <v>9</v>
      </c>
      <c r="O140" t="str">
        <f t="shared" si="4"/>
        <v>101-200</v>
      </c>
      <c r="P140" t="str">
        <f>IF(airbnb_data3[[#This Row],[price]]&lt;=100,"Budget",
IF(airbnb_data3[[#This Row],[price]]&lt;=200,"Mid-range",
IF(airbnb_data3[[#This Row],[price]]&lt;=300,"Premium","Luxury")))</f>
        <v>Mid-range</v>
      </c>
      <c r="Q140" t="str">
        <f>IF(airbnb_data3[[#This Row],[availability_365]]&lt;=120,"Low Availability",IF(airbnb_data3[[#This Row],[availability_365]]&lt;=240,"Medium Availability","High Availability"))</f>
        <v>High Availability</v>
      </c>
      <c r="R140" s="6" t="str">
        <f t="shared" si="5"/>
        <v>Medium</v>
      </c>
      <c r="S140" s="6" t="str">
        <f>IF(airbnb_data3[[#This Row],[minimum_nights]]&lt;=3,"Short Stay",IF(airbnb_data3[[#This Row],[minimum_nights]]&lt;=7,"Medium Stay","Long Stay"))</f>
        <v>Short Stay</v>
      </c>
    </row>
    <row r="141" spans="1:19" x14ac:dyDescent="0.35">
      <c r="A141" t="s">
        <v>242</v>
      </c>
      <c r="B141" t="s">
        <v>243</v>
      </c>
      <c r="C141" t="s">
        <v>51</v>
      </c>
      <c r="D141">
        <v>42.656328999999999</v>
      </c>
      <c r="E141">
        <v>-73.775204799999997</v>
      </c>
      <c r="F141" t="s">
        <v>244</v>
      </c>
      <c r="G141">
        <v>840</v>
      </c>
      <c r="H141">
        <v>1</v>
      </c>
      <c r="I141">
        <v>9</v>
      </c>
      <c r="J141" s="1">
        <v>46156</v>
      </c>
      <c r="K141">
        <v>0.26</v>
      </c>
      <c r="L141">
        <v>6</v>
      </c>
      <c r="M141">
        <v>141</v>
      </c>
      <c r="N141">
        <v>4</v>
      </c>
      <c r="O141" t="str">
        <f t="shared" si="4"/>
        <v>500+</v>
      </c>
      <c r="P141" t="str">
        <f>IF(airbnb_data3[[#This Row],[price]]&lt;=100,"Budget",
IF(airbnb_data3[[#This Row],[price]]&lt;=200,"Mid-range",
IF(airbnb_data3[[#This Row],[price]]&lt;=300,"Premium","Luxury")))</f>
        <v>Luxury</v>
      </c>
      <c r="Q141" t="str">
        <f>IF(airbnb_data3[[#This Row],[availability_365]]&lt;=120,"Low Availability",IF(airbnb_data3[[#This Row],[availability_365]]&lt;=240,"Medium Availability","High Availability"))</f>
        <v>Medium Availability</v>
      </c>
      <c r="R141" s="6" t="str">
        <f t="shared" si="5"/>
        <v>Medium</v>
      </c>
      <c r="S141" s="6" t="str">
        <f>IF(airbnb_data3[[#This Row],[minimum_nights]]&lt;=3,"Short Stay",IF(airbnb_data3[[#This Row],[minimum_nights]]&lt;=7,"Medium Stay","Long Stay"))</f>
        <v>Short Stay</v>
      </c>
    </row>
    <row r="142" spans="1:19" x14ac:dyDescent="0.35">
      <c r="A142" t="s">
        <v>245</v>
      </c>
      <c r="B142" t="s">
        <v>243</v>
      </c>
      <c r="C142" t="s">
        <v>51</v>
      </c>
      <c r="D142">
        <v>42.655819999999999</v>
      </c>
      <c r="E142">
        <v>-73.775409999999994</v>
      </c>
      <c r="F142" t="s">
        <v>31</v>
      </c>
      <c r="G142">
        <v>167</v>
      </c>
      <c r="H142">
        <v>1</v>
      </c>
      <c r="I142">
        <v>12</v>
      </c>
      <c r="J142" s="1">
        <v>45627</v>
      </c>
      <c r="K142">
        <v>0.34</v>
      </c>
      <c r="L142">
        <v>6</v>
      </c>
      <c r="M142">
        <v>185</v>
      </c>
      <c r="N142">
        <v>0</v>
      </c>
      <c r="O142" t="str">
        <f t="shared" si="4"/>
        <v>101-200</v>
      </c>
      <c r="P142" t="str">
        <f>IF(airbnb_data3[[#This Row],[price]]&lt;=100,"Budget",
IF(airbnb_data3[[#This Row],[price]]&lt;=200,"Mid-range",
IF(airbnb_data3[[#This Row],[price]]&lt;=300,"Premium","Luxury")))</f>
        <v>Mid-range</v>
      </c>
      <c r="Q142" t="str">
        <f>IF(airbnb_data3[[#This Row],[availability_365]]&lt;=120,"Low Availability",IF(airbnb_data3[[#This Row],[availability_365]]&lt;=240,"Medium Availability","High Availability"))</f>
        <v>Medium Availability</v>
      </c>
      <c r="R142" s="6" t="str">
        <f t="shared" si="5"/>
        <v>Medium</v>
      </c>
      <c r="S142" s="6" t="str">
        <f>IF(airbnb_data3[[#This Row],[minimum_nights]]&lt;=3,"Short Stay",IF(airbnb_data3[[#This Row],[minimum_nights]]&lt;=7,"Medium Stay","Long Stay"))</f>
        <v>Short Stay</v>
      </c>
    </row>
    <row r="143" spans="1:19" x14ac:dyDescent="0.35">
      <c r="A143" t="s">
        <v>246</v>
      </c>
      <c r="B143" t="s">
        <v>50</v>
      </c>
      <c r="C143" t="s">
        <v>47</v>
      </c>
      <c r="D143">
        <v>42.657409999999999</v>
      </c>
      <c r="E143">
        <v>-73.780339999999995</v>
      </c>
      <c r="F143" t="s">
        <v>31</v>
      </c>
      <c r="G143">
        <v>69</v>
      </c>
      <c r="H143">
        <v>2</v>
      </c>
      <c r="I143">
        <v>23</v>
      </c>
      <c r="J143" s="1">
        <v>45972</v>
      </c>
      <c r="K143">
        <v>0.56000000000000005</v>
      </c>
      <c r="L143">
        <v>2</v>
      </c>
      <c r="M143">
        <v>101</v>
      </c>
      <c r="N143">
        <v>9</v>
      </c>
      <c r="O143" t="str">
        <f t="shared" si="4"/>
        <v>0-100</v>
      </c>
      <c r="P143" t="str">
        <f>IF(airbnb_data3[[#This Row],[price]]&lt;=100,"Budget",
IF(airbnb_data3[[#This Row],[price]]&lt;=200,"Mid-range",
IF(airbnb_data3[[#This Row],[price]]&lt;=300,"Premium","Luxury")))</f>
        <v>Budget</v>
      </c>
      <c r="Q143" t="str">
        <f>IF(airbnb_data3[[#This Row],[availability_365]]&lt;=120,"Low Availability",IF(airbnb_data3[[#This Row],[availability_365]]&lt;=240,"Medium Availability","High Availability"))</f>
        <v>Low Availability</v>
      </c>
      <c r="R143" s="6" t="str">
        <f t="shared" si="5"/>
        <v>Medium</v>
      </c>
      <c r="S143" s="6" t="str">
        <f>IF(airbnb_data3[[#This Row],[minimum_nights]]&lt;=3,"Short Stay",IF(airbnb_data3[[#This Row],[minimum_nights]]&lt;=7,"Medium Stay","Long Stay"))</f>
        <v>Short Stay</v>
      </c>
    </row>
    <row r="144" spans="1:19" x14ac:dyDescent="0.35">
      <c r="A144" t="s">
        <v>247</v>
      </c>
      <c r="B144" t="s">
        <v>243</v>
      </c>
      <c r="C144" t="s">
        <v>25</v>
      </c>
      <c r="D144">
        <v>42.657510000000002</v>
      </c>
      <c r="E144">
        <v>-73.774090000000001</v>
      </c>
      <c r="F144" t="s">
        <v>31</v>
      </c>
      <c r="G144">
        <v>190</v>
      </c>
      <c r="H144">
        <v>1</v>
      </c>
      <c r="I144">
        <v>6</v>
      </c>
      <c r="J144" s="1">
        <v>45578</v>
      </c>
      <c r="K144">
        <v>0.17</v>
      </c>
      <c r="L144">
        <v>6</v>
      </c>
      <c r="M144">
        <v>171</v>
      </c>
      <c r="N144">
        <v>0</v>
      </c>
      <c r="O144" t="str">
        <f t="shared" si="4"/>
        <v>101-200</v>
      </c>
      <c r="P144" t="str">
        <f>IF(airbnb_data3[[#This Row],[price]]&lt;=100,"Budget",
IF(airbnb_data3[[#This Row],[price]]&lt;=200,"Mid-range",
IF(airbnb_data3[[#This Row],[price]]&lt;=300,"Premium","Luxury")))</f>
        <v>Mid-range</v>
      </c>
      <c r="Q144" t="str">
        <f>IF(airbnb_data3[[#This Row],[availability_365]]&lt;=120,"Low Availability",IF(airbnb_data3[[#This Row],[availability_365]]&lt;=240,"Medium Availability","High Availability"))</f>
        <v>Medium Availability</v>
      </c>
      <c r="R144" s="6" t="str">
        <f t="shared" si="5"/>
        <v>Medium</v>
      </c>
      <c r="S144" s="6" t="str">
        <f>IF(airbnb_data3[[#This Row],[minimum_nights]]&lt;=3,"Short Stay",IF(airbnb_data3[[#This Row],[minimum_nights]]&lt;=7,"Medium Stay","Long Stay"))</f>
        <v>Short Stay</v>
      </c>
    </row>
    <row r="145" spans="1:19" x14ac:dyDescent="0.35">
      <c r="A145" t="s">
        <v>249</v>
      </c>
      <c r="B145" t="s">
        <v>243</v>
      </c>
      <c r="C145" t="s">
        <v>51</v>
      </c>
      <c r="D145">
        <v>42.656328999999999</v>
      </c>
      <c r="E145">
        <v>-73.775205</v>
      </c>
      <c r="F145" t="s">
        <v>31</v>
      </c>
      <c r="G145">
        <v>179</v>
      </c>
      <c r="H145">
        <v>1</v>
      </c>
      <c r="I145">
        <v>6</v>
      </c>
      <c r="J145" s="1">
        <v>45576</v>
      </c>
      <c r="K145">
        <v>0.17</v>
      </c>
      <c r="L145">
        <v>6</v>
      </c>
      <c r="M145">
        <v>181</v>
      </c>
      <c r="N145">
        <v>0</v>
      </c>
      <c r="O145" t="str">
        <f t="shared" si="4"/>
        <v>101-200</v>
      </c>
      <c r="P145" t="str">
        <f>IF(airbnb_data3[[#This Row],[price]]&lt;=100,"Budget",
IF(airbnb_data3[[#This Row],[price]]&lt;=200,"Mid-range",
IF(airbnb_data3[[#This Row],[price]]&lt;=300,"Premium","Luxury")))</f>
        <v>Mid-range</v>
      </c>
      <c r="Q145" t="str">
        <f>IF(airbnb_data3[[#This Row],[availability_365]]&lt;=120,"Low Availability",IF(airbnb_data3[[#This Row],[availability_365]]&lt;=240,"Medium Availability","High Availability"))</f>
        <v>Medium Availability</v>
      </c>
      <c r="R145" s="6" t="str">
        <f t="shared" si="5"/>
        <v>Medium</v>
      </c>
      <c r="S145" s="6" t="str">
        <f>IF(airbnb_data3[[#This Row],[minimum_nights]]&lt;=3,"Short Stay",IF(airbnb_data3[[#This Row],[minimum_nights]]&lt;=7,"Medium Stay","Long Stay"))</f>
        <v>Short Stay</v>
      </c>
    </row>
    <row r="146" spans="1:19" x14ac:dyDescent="0.35">
      <c r="A146" t="s">
        <v>250</v>
      </c>
      <c r="B146" t="s">
        <v>243</v>
      </c>
      <c r="C146" t="s">
        <v>51</v>
      </c>
      <c r="D146">
        <v>42.656328999999999</v>
      </c>
      <c r="E146">
        <v>-73.775205</v>
      </c>
      <c r="F146" t="s">
        <v>31</v>
      </c>
      <c r="G146">
        <v>167</v>
      </c>
      <c r="H146">
        <v>1</v>
      </c>
      <c r="I146">
        <v>10</v>
      </c>
      <c r="J146" s="1">
        <v>45896</v>
      </c>
      <c r="K146">
        <v>0.28000000000000003</v>
      </c>
      <c r="L146">
        <v>6</v>
      </c>
      <c r="M146">
        <v>187</v>
      </c>
      <c r="N146">
        <v>1</v>
      </c>
      <c r="O146" t="str">
        <f t="shared" si="4"/>
        <v>101-200</v>
      </c>
      <c r="P146" t="str">
        <f>IF(airbnb_data3[[#This Row],[price]]&lt;=100,"Budget",
IF(airbnb_data3[[#This Row],[price]]&lt;=200,"Mid-range",
IF(airbnb_data3[[#This Row],[price]]&lt;=300,"Premium","Luxury")))</f>
        <v>Mid-range</v>
      </c>
      <c r="Q146" t="str">
        <f>IF(airbnb_data3[[#This Row],[availability_365]]&lt;=120,"Low Availability",IF(airbnb_data3[[#This Row],[availability_365]]&lt;=240,"Medium Availability","High Availability"))</f>
        <v>Medium Availability</v>
      </c>
      <c r="R146" s="6" t="str">
        <f t="shared" si="5"/>
        <v>Medium</v>
      </c>
      <c r="S146" s="6" t="str">
        <f>IF(airbnb_data3[[#This Row],[minimum_nights]]&lt;=3,"Short Stay",IF(airbnb_data3[[#This Row],[minimum_nights]]&lt;=7,"Medium Stay","Long Stay"))</f>
        <v>Short Stay</v>
      </c>
    </row>
    <row r="147" spans="1:19" x14ac:dyDescent="0.35">
      <c r="A147" t="s">
        <v>251</v>
      </c>
      <c r="B147" t="s">
        <v>252</v>
      </c>
      <c r="C147" t="s">
        <v>51</v>
      </c>
      <c r="D147">
        <v>42.656139715194897</v>
      </c>
      <c r="E147">
        <v>-73.792122378945294</v>
      </c>
      <c r="F147" t="s">
        <v>22</v>
      </c>
      <c r="G147">
        <v>110</v>
      </c>
      <c r="H147">
        <v>30</v>
      </c>
      <c r="I147">
        <v>3</v>
      </c>
      <c r="J147" s="1">
        <v>46166</v>
      </c>
      <c r="K147">
        <v>0.22</v>
      </c>
      <c r="L147">
        <v>2</v>
      </c>
      <c r="M147">
        <v>161</v>
      </c>
      <c r="N147">
        <v>2</v>
      </c>
      <c r="O147" t="str">
        <f t="shared" si="4"/>
        <v>101-200</v>
      </c>
      <c r="P147" t="str">
        <f>IF(airbnb_data3[[#This Row],[price]]&lt;=100,"Budget",
IF(airbnb_data3[[#This Row],[price]]&lt;=200,"Mid-range",
IF(airbnb_data3[[#This Row],[price]]&lt;=300,"Premium","Luxury")))</f>
        <v>Mid-range</v>
      </c>
      <c r="Q147" t="str">
        <f>IF(airbnb_data3[[#This Row],[availability_365]]&lt;=120,"Low Availability",IF(airbnb_data3[[#This Row],[availability_365]]&lt;=240,"Medium Availability","High Availability"))</f>
        <v>Medium Availability</v>
      </c>
      <c r="R147" s="6" t="str">
        <f t="shared" si="5"/>
        <v>Medium</v>
      </c>
      <c r="S147" s="6" t="str">
        <f>IF(airbnb_data3[[#This Row],[minimum_nights]]&lt;=3,"Short Stay",IF(airbnb_data3[[#This Row],[minimum_nights]]&lt;=7,"Medium Stay","Long Stay"))</f>
        <v>Long Stay</v>
      </c>
    </row>
    <row r="148" spans="1:19" x14ac:dyDescent="0.35">
      <c r="A148" t="s">
        <v>253</v>
      </c>
      <c r="B148" t="s">
        <v>254</v>
      </c>
      <c r="C148" t="s">
        <v>68</v>
      </c>
      <c r="D148">
        <v>42.671439999999997</v>
      </c>
      <c r="E148">
        <v>-73.790329999999997</v>
      </c>
      <c r="F148" t="s">
        <v>31</v>
      </c>
      <c r="G148">
        <v>63</v>
      </c>
      <c r="H148">
        <v>5</v>
      </c>
      <c r="I148">
        <v>24</v>
      </c>
      <c r="J148" s="1">
        <v>46187</v>
      </c>
      <c r="K148">
        <v>0.69</v>
      </c>
      <c r="L148">
        <v>5</v>
      </c>
      <c r="M148">
        <v>360</v>
      </c>
      <c r="N148">
        <v>7</v>
      </c>
      <c r="O148" t="str">
        <f t="shared" si="4"/>
        <v>0-100</v>
      </c>
      <c r="P148" t="str">
        <f>IF(airbnb_data3[[#This Row],[price]]&lt;=100,"Budget",
IF(airbnb_data3[[#This Row],[price]]&lt;=200,"Mid-range",
IF(airbnb_data3[[#This Row],[price]]&lt;=300,"Premium","Luxury")))</f>
        <v>Budget</v>
      </c>
      <c r="Q148" t="str">
        <f>IF(airbnb_data3[[#This Row],[availability_365]]&lt;=120,"Low Availability",IF(airbnb_data3[[#This Row],[availability_365]]&lt;=240,"Medium Availability","High Availability"))</f>
        <v>High Availability</v>
      </c>
      <c r="R148" s="6" t="str">
        <f t="shared" si="5"/>
        <v>Medium</v>
      </c>
      <c r="S148" s="6" t="str">
        <f>IF(airbnb_data3[[#This Row],[minimum_nights]]&lt;=3,"Short Stay",IF(airbnb_data3[[#This Row],[minimum_nights]]&lt;=7,"Medium Stay","Long Stay"))</f>
        <v>Medium Stay</v>
      </c>
    </row>
    <row r="149" spans="1:19" x14ac:dyDescent="0.35">
      <c r="A149" t="s">
        <v>255</v>
      </c>
      <c r="B149" t="s">
        <v>182</v>
      </c>
      <c r="C149" t="s">
        <v>25</v>
      </c>
      <c r="D149">
        <v>42.65258</v>
      </c>
      <c r="E149">
        <v>-73.769170000000003</v>
      </c>
      <c r="F149" t="s">
        <v>22</v>
      </c>
      <c r="G149">
        <v>153</v>
      </c>
      <c r="H149">
        <v>1</v>
      </c>
      <c r="I149">
        <v>59</v>
      </c>
      <c r="J149" s="1">
        <v>46159</v>
      </c>
      <c r="K149">
        <v>1.44</v>
      </c>
      <c r="L149">
        <v>16</v>
      </c>
      <c r="M149">
        <v>311</v>
      </c>
      <c r="N149">
        <v>19</v>
      </c>
      <c r="O149" t="str">
        <f t="shared" si="4"/>
        <v>101-200</v>
      </c>
      <c r="P149" t="str">
        <f>IF(airbnb_data3[[#This Row],[price]]&lt;=100,"Budget",
IF(airbnb_data3[[#This Row],[price]]&lt;=200,"Mid-range",
IF(airbnb_data3[[#This Row],[price]]&lt;=300,"Premium","Luxury")))</f>
        <v>Mid-range</v>
      </c>
      <c r="Q149" t="str">
        <f>IF(airbnb_data3[[#This Row],[availability_365]]&lt;=120,"Low Availability",IF(airbnb_data3[[#This Row],[availability_365]]&lt;=240,"Medium Availability","High Availability"))</f>
        <v>High Availability</v>
      </c>
      <c r="R149" s="6" t="str">
        <f t="shared" si="5"/>
        <v>Medium</v>
      </c>
      <c r="S149" s="6" t="str">
        <f>IF(airbnb_data3[[#This Row],[minimum_nights]]&lt;=3,"Short Stay",IF(airbnb_data3[[#This Row],[minimum_nights]]&lt;=7,"Medium Stay","Long Stay"))</f>
        <v>Short Stay</v>
      </c>
    </row>
    <row r="150" spans="1:19" x14ac:dyDescent="0.35">
      <c r="A150" t="s">
        <v>256</v>
      </c>
      <c r="B150" t="s">
        <v>257</v>
      </c>
      <c r="C150" t="s">
        <v>34</v>
      </c>
      <c r="D150">
        <v>42.661090000000002</v>
      </c>
      <c r="E150">
        <v>-73.804789999999997</v>
      </c>
      <c r="F150" t="s">
        <v>31</v>
      </c>
      <c r="G150">
        <v>13</v>
      </c>
      <c r="H150">
        <v>90</v>
      </c>
      <c r="I150">
        <v>3</v>
      </c>
      <c r="J150" s="1">
        <v>45260</v>
      </c>
      <c r="K150">
        <v>7.0000000000000007E-2</v>
      </c>
      <c r="L150">
        <v>2</v>
      </c>
      <c r="M150">
        <v>294</v>
      </c>
      <c r="N150">
        <v>0</v>
      </c>
      <c r="O150" t="str">
        <f t="shared" si="4"/>
        <v>0-100</v>
      </c>
      <c r="P150" t="str">
        <f>IF(airbnb_data3[[#This Row],[price]]&lt;=100,"Budget",
IF(airbnb_data3[[#This Row],[price]]&lt;=200,"Mid-range",
IF(airbnb_data3[[#This Row],[price]]&lt;=300,"Premium","Luxury")))</f>
        <v>Budget</v>
      </c>
      <c r="Q150" t="str">
        <f>IF(airbnb_data3[[#This Row],[availability_365]]&lt;=120,"Low Availability",IF(airbnb_data3[[#This Row],[availability_365]]&lt;=240,"Medium Availability","High Availability"))</f>
        <v>High Availability</v>
      </c>
      <c r="R150" s="6" t="str">
        <f t="shared" si="5"/>
        <v>High</v>
      </c>
      <c r="S150" s="6" t="str">
        <f>IF(airbnb_data3[[#This Row],[minimum_nights]]&lt;=3,"Short Stay",IF(airbnb_data3[[#This Row],[minimum_nights]]&lt;=7,"Medium Stay","Long Stay"))</f>
        <v>Long Stay</v>
      </c>
    </row>
    <row r="151" spans="1:19" x14ac:dyDescent="0.35">
      <c r="A151" t="s">
        <v>258</v>
      </c>
      <c r="B151" t="s">
        <v>259</v>
      </c>
      <c r="C151" t="s">
        <v>51</v>
      </c>
      <c r="D151">
        <v>42.655006189125302</v>
      </c>
      <c r="E151">
        <v>-73.775701560079995</v>
      </c>
      <c r="F151" t="s">
        <v>22</v>
      </c>
      <c r="G151">
        <v>236</v>
      </c>
      <c r="H151">
        <v>1</v>
      </c>
      <c r="I151">
        <v>80</v>
      </c>
      <c r="J151" s="1">
        <v>46179</v>
      </c>
      <c r="K151">
        <v>1.98</v>
      </c>
      <c r="L151">
        <v>3</v>
      </c>
      <c r="M151">
        <v>355</v>
      </c>
      <c r="N151">
        <v>45</v>
      </c>
      <c r="O151" t="str">
        <f t="shared" si="4"/>
        <v>201-300</v>
      </c>
      <c r="P151" t="str">
        <f>IF(airbnb_data3[[#This Row],[price]]&lt;=100,"Budget",
IF(airbnb_data3[[#This Row],[price]]&lt;=200,"Mid-range",
IF(airbnb_data3[[#This Row],[price]]&lt;=300,"Premium","Luxury")))</f>
        <v>Premium</v>
      </c>
      <c r="Q151" t="str">
        <f>IF(airbnb_data3[[#This Row],[availability_365]]&lt;=120,"Low Availability",IF(airbnb_data3[[#This Row],[availability_365]]&lt;=240,"Medium Availability","High Availability"))</f>
        <v>High Availability</v>
      </c>
      <c r="R151" s="6" t="str">
        <f t="shared" si="5"/>
        <v>Medium</v>
      </c>
      <c r="S151" s="6" t="str">
        <f>IF(airbnb_data3[[#This Row],[minimum_nights]]&lt;=3,"Short Stay",IF(airbnb_data3[[#This Row],[minimum_nights]]&lt;=7,"Medium Stay","Long Stay"))</f>
        <v>Short Stay</v>
      </c>
    </row>
    <row r="152" spans="1:19" x14ac:dyDescent="0.35">
      <c r="A152" t="s">
        <v>260</v>
      </c>
      <c r="B152" t="s">
        <v>261</v>
      </c>
      <c r="C152" t="s">
        <v>37</v>
      </c>
      <c r="D152">
        <v>42.670760000000001</v>
      </c>
      <c r="E152">
        <v>-73.826120000000003</v>
      </c>
      <c r="F152" t="s">
        <v>22</v>
      </c>
      <c r="G152">
        <v>363</v>
      </c>
      <c r="H152">
        <v>2</v>
      </c>
      <c r="I152">
        <v>140</v>
      </c>
      <c r="J152" s="1">
        <v>46187</v>
      </c>
      <c r="K152">
        <v>3.52</v>
      </c>
      <c r="L152">
        <v>1</v>
      </c>
      <c r="M152">
        <v>321</v>
      </c>
      <c r="N152">
        <v>35</v>
      </c>
      <c r="O152" t="str">
        <f t="shared" si="4"/>
        <v>301-500</v>
      </c>
      <c r="P152" t="str">
        <f>IF(airbnb_data3[[#This Row],[price]]&lt;=100,"Budget",
IF(airbnb_data3[[#This Row],[price]]&lt;=200,"Mid-range",
IF(airbnb_data3[[#This Row],[price]]&lt;=300,"Premium","Luxury")))</f>
        <v>Luxury</v>
      </c>
      <c r="Q152" t="str">
        <f>IF(airbnb_data3[[#This Row],[availability_365]]&lt;=120,"Low Availability",IF(airbnb_data3[[#This Row],[availability_365]]&lt;=240,"Medium Availability","High Availability"))</f>
        <v>High Availability</v>
      </c>
      <c r="R152" s="6" t="str">
        <f t="shared" si="5"/>
        <v>Medium</v>
      </c>
      <c r="S152" s="6" t="str">
        <f>IF(airbnb_data3[[#This Row],[minimum_nights]]&lt;=3,"Short Stay",IF(airbnb_data3[[#This Row],[minimum_nights]]&lt;=7,"Medium Stay","Long Stay"))</f>
        <v>Short Stay</v>
      </c>
    </row>
    <row r="153" spans="1:19" x14ac:dyDescent="0.35">
      <c r="A153" t="s">
        <v>262</v>
      </c>
      <c r="B153" t="s">
        <v>263</v>
      </c>
      <c r="C153" t="s">
        <v>25</v>
      </c>
      <c r="D153">
        <v>42.660080000000001</v>
      </c>
      <c r="E153">
        <v>-73.769769999999994</v>
      </c>
      <c r="F153" t="s">
        <v>22</v>
      </c>
      <c r="G153">
        <v>137</v>
      </c>
      <c r="H153">
        <v>3</v>
      </c>
      <c r="I153">
        <v>6</v>
      </c>
      <c r="J153" s="1">
        <v>45482</v>
      </c>
      <c r="K153">
        <v>0.18</v>
      </c>
      <c r="L153">
        <v>2</v>
      </c>
      <c r="M153">
        <v>362</v>
      </c>
      <c r="N153">
        <v>0</v>
      </c>
      <c r="O153" t="str">
        <f t="shared" si="4"/>
        <v>101-200</v>
      </c>
      <c r="P153" t="str">
        <f>IF(airbnb_data3[[#This Row],[price]]&lt;=100,"Budget",
IF(airbnb_data3[[#This Row],[price]]&lt;=200,"Mid-range",
IF(airbnb_data3[[#This Row],[price]]&lt;=300,"Premium","Luxury")))</f>
        <v>Mid-range</v>
      </c>
      <c r="Q153" t="str">
        <f>IF(airbnb_data3[[#This Row],[availability_365]]&lt;=120,"Low Availability",IF(airbnb_data3[[#This Row],[availability_365]]&lt;=240,"Medium Availability","High Availability"))</f>
        <v>High Availability</v>
      </c>
      <c r="R153" s="6" t="str">
        <f t="shared" si="5"/>
        <v>Medium</v>
      </c>
      <c r="S153" s="6" t="str">
        <f>IF(airbnb_data3[[#This Row],[minimum_nights]]&lt;=3,"Short Stay",IF(airbnb_data3[[#This Row],[minimum_nights]]&lt;=7,"Medium Stay","Long Stay"))</f>
        <v>Short Stay</v>
      </c>
    </row>
    <row r="154" spans="1:19" x14ac:dyDescent="0.35">
      <c r="A154" t="s">
        <v>264</v>
      </c>
      <c r="B154" t="s">
        <v>263</v>
      </c>
      <c r="C154" t="s">
        <v>25</v>
      </c>
      <c r="D154">
        <v>42.659869999999998</v>
      </c>
      <c r="E154">
        <v>-73.770250000000004</v>
      </c>
      <c r="F154" t="s">
        <v>22</v>
      </c>
      <c r="G154">
        <v>137</v>
      </c>
      <c r="H154">
        <v>3</v>
      </c>
      <c r="I154">
        <v>12</v>
      </c>
      <c r="J154" s="1">
        <v>45263</v>
      </c>
      <c r="K154">
        <v>0.33</v>
      </c>
      <c r="L154">
        <v>2</v>
      </c>
      <c r="M154">
        <v>357</v>
      </c>
      <c r="N154">
        <v>0</v>
      </c>
      <c r="O154" t="str">
        <f t="shared" si="4"/>
        <v>101-200</v>
      </c>
      <c r="P154" t="str">
        <f>IF(airbnb_data3[[#This Row],[price]]&lt;=100,"Budget",
IF(airbnb_data3[[#This Row],[price]]&lt;=200,"Mid-range",
IF(airbnb_data3[[#This Row],[price]]&lt;=300,"Premium","Luxury")))</f>
        <v>Mid-range</v>
      </c>
      <c r="Q154" t="str">
        <f>IF(airbnb_data3[[#This Row],[availability_365]]&lt;=120,"Low Availability",IF(airbnb_data3[[#This Row],[availability_365]]&lt;=240,"Medium Availability","High Availability"))</f>
        <v>High Availability</v>
      </c>
      <c r="R154" s="6" t="str">
        <f t="shared" si="5"/>
        <v>High</v>
      </c>
      <c r="S154" s="6" t="str">
        <f>IF(airbnb_data3[[#This Row],[minimum_nights]]&lt;=3,"Short Stay",IF(airbnb_data3[[#This Row],[minimum_nights]]&lt;=7,"Medium Stay","Long Stay"))</f>
        <v>Short Stay</v>
      </c>
    </row>
    <row r="155" spans="1:19" x14ac:dyDescent="0.35">
      <c r="A155" t="s">
        <v>265</v>
      </c>
      <c r="B155" t="s">
        <v>33</v>
      </c>
      <c r="C155" t="s">
        <v>25</v>
      </c>
      <c r="D155">
        <v>42.654829999999997</v>
      </c>
      <c r="E155">
        <v>-73.763530000000003</v>
      </c>
      <c r="F155" t="s">
        <v>22</v>
      </c>
      <c r="G155">
        <v>114</v>
      </c>
      <c r="H155">
        <v>14</v>
      </c>
      <c r="I155">
        <v>2</v>
      </c>
      <c r="J155" s="1">
        <v>45173</v>
      </c>
      <c r="K155">
        <v>0.05</v>
      </c>
      <c r="L155">
        <v>11</v>
      </c>
      <c r="M155">
        <v>364</v>
      </c>
      <c r="N155">
        <v>0</v>
      </c>
      <c r="O155" t="str">
        <f t="shared" si="4"/>
        <v>101-200</v>
      </c>
      <c r="P155" t="str">
        <f>IF(airbnb_data3[[#This Row],[price]]&lt;=100,"Budget",
IF(airbnb_data3[[#This Row],[price]]&lt;=200,"Mid-range",
IF(airbnb_data3[[#This Row],[price]]&lt;=300,"Premium","Luxury")))</f>
        <v>Mid-range</v>
      </c>
      <c r="Q155" t="str">
        <f>IF(airbnb_data3[[#This Row],[availability_365]]&lt;=120,"Low Availability",IF(airbnb_data3[[#This Row],[availability_365]]&lt;=240,"Medium Availability","High Availability"))</f>
        <v>High Availability</v>
      </c>
      <c r="R155" s="6" t="str">
        <f t="shared" si="5"/>
        <v>Medium</v>
      </c>
      <c r="S155" s="6" t="str">
        <f>IF(airbnb_data3[[#This Row],[minimum_nights]]&lt;=3,"Short Stay",IF(airbnb_data3[[#This Row],[minimum_nights]]&lt;=7,"Medium Stay","Long Stay"))</f>
        <v>Long Stay</v>
      </c>
    </row>
    <row r="156" spans="1:19" x14ac:dyDescent="0.35">
      <c r="A156" t="s">
        <v>266</v>
      </c>
      <c r="B156" t="s">
        <v>267</v>
      </c>
      <c r="C156" t="s">
        <v>117</v>
      </c>
      <c r="D156">
        <v>42.635039999999996</v>
      </c>
      <c r="E156">
        <v>-73.798330000000007</v>
      </c>
      <c r="F156" t="s">
        <v>22</v>
      </c>
      <c r="G156">
        <v>587</v>
      </c>
      <c r="H156">
        <v>1</v>
      </c>
      <c r="I156">
        <v>160</v>
      </c>
      <c r="J156" s="1">
        <v>46174</v>
      </c>
      <c r="K156">
        <v>4.07</v>
      </c>
      <c r="L156">
        <v>1</v>
      </c>
      <c r="M156">
        <v>134</v>
      </c>
      <c r="N156">
        <v>44</v>
      </c>
      <c r="O156" t="str">
        <f t="shared" si="4"/>
        <v>500+</v>
      </c>
      <c r="P156" t="str">
        <f>IF(airbnb_data3[[#This Row],[price]]&lt;=100,"Budget",
IF(airbnb_data3[[#This Row],[price]]&lt;=200,"Mid-range",
IF(airbnb_data3[[#This Row],[price]]&lt;=300,"Premium","Luxury")))</f>
        <v>Luxury</v>
      </c>
      <c r="Q156" t="str">
        <f>IF(airbnb_data3[[#This Row],[availability_365]]&lt;=120,"Low Availability",IF(airbnb_data3[[#This Row],[availability_365]]&lt;=240,"Medium Availability","High Availability"))</f>
        <v>Medium Availability</v>
      </c>
      <c r="R156" s="6" t="str">
        <f t="shared" si="5"/>
        <v>Medium</v>
      </c>
      <c r="S156" s="6" t="str">
        <f>IF(airbnb_data3[[#This Row],[minimum_nights]]&lt;=3,"Short Stay",IF(airbnb_data3[[#This Row],[minimum_nights]]&lt;=7,"Medium Stay","Long Stay"))</f>
        <v>Short Stay</v>
      </c>
    </row>
    <row r="157" spans="1:19" x14ac:dyDescent="0.35">
      <c r="A157" t="s">
        <v>268</v>
      </c>
      <c r="B157" t="s">
        <v>269</v>
      </c>
      <c r="C157" t="s">
        <v>270</v>
      </c>
      <c r="D157">
        <v>42.673360000000002</v>
      </c>
      <c r="E157">
        <v>-73.786190000000005</v>
      </c>
      <c r="F157" t="s">
        <v>22</v>
      </c>
      <c r="G157">
        <v>266</v>
      </c>
      <c r="H157">
        <v>2</v>
      </c>
      <c r="I157">
        <v>21</v>
      </c>
      <c r="J157" s="1">
        <v>46159</v>
      </c>
      <c r="K157">
        <v>0.54</v>
      </c>
      <c r="L157">
        <v>2</v>
      </c>
      <c r="M157">
        <v>173</v>
      </c>
      <c r="N157">
        <v>2</v>
      </c>
      <c r="O157" t="str">
        <f t="shared" si="4"/>
        <v>201-300</v>
      </c>
      <c r="P157" t="str">
        <f>IF(airbnb_data3[[#This Row],[price]]&lt;=100,"Budget",
IF(airbnb_data3[[#This Row],[price]]&lt;=200,"Mid-range",
IF(airbnb_data3[[#This Row],[price]]&lt;=300,"Premium","Luxury")))</f>
        <v>Premium</v>
      </c>
      <c r="Q157" t="str">
        <f>IF(airbnb_data3[[#This Row],[availability_365]]&lt;=120,"Low Availability",IF(airbnb_data3[[#This Row],[availability_365]]&lt;=240,"Medium Availability","High Availability"))</f>
        <v>Medium Availability</v>
      </c>
      <c r="R157" s="6" t="str">
        <f t="shared" si="5"/>
        <v>High</v>
      </c>
      <c r="S157" s="6" t="str">
        <f>IF(airbnb_data3[[#This Row],[minimum_nights]]&lt;=3,"Short Stay",IF(airbnb_data3[[#This Row],[minimum_nights]]&lt;=7,"Medium Stay","Long Stay"))</f>
        <v>Short Stay</v>
      </c>
    </row>
    <row r="158" spans="1:19" x14ac:dyDescent="0.35">
      <c r="A158" t="s">
        <v>271</v>
      </c>
      <c r="B158" t="s">
        <v>272</v>
      </c>
      <c r="C158" t="s">
        <v>25</v>
      </c>
      <c r="D158">
        <v>42.654319999999998</v>
      </c>
      <c r="E158">
        <v>-73.765309999999999</v>
      </c>
      <c r="F158" t="s">
        <v>22</v>
      </c>
      <c r="G158">
        <v>236</v>
      </c>
      <c r="H158">
        <v>3</v>
      </c>
      <c r="I158">
        <v>2</v>
      </c>
      <c r="J158" s="1">
        <v>45705</v>
      </c>
      <c r="K158">
        <v>7.0000000000000007E-2</v>
      </c>
      <c r="L158">
        <v>2</v>
      </c>
      <c r="M158">
        <v>233</v>
      </c>
      <c r="N158">
        <v>0</v>
      </c>
      <c r="O158" t="str">
        <f t="shared" si="4"/>
        <v>201-300</v>
      </c>
      <c r="P158" t="str">
        <f>IF(airbnb_data3[[#This Row],[price]]&lt;=100,"Budget",
IF(airbnb_data3[[#This Row],[price]]&lt;=200,"Mid-range",
IF(airbnb_data3[[#This Row],[price]]&lt;=300,"Premium","Luxury")))</f>
        <v>Premium</v>
      </c>
      <c r="Q158" t="str">
        <f>IF(airbnb_data3[[#This Row],[availability_365]]&lt;=120,"Low Availability",IF(airbnb_data3[[#This Row],[availability_365]]&lt;=240,"Medium Availability","High Availability"))</f>
        <v>Medium Availability</v>
      </c>
      <c r="R158" s="6" t="str">
        <f t="shared" si="5"/>
        <v>Medium</v>
      </c>
      <c r="S158" s="6" t="str">
        <f>IF(airbnb_data3[[#This Row],[minimum_nights]]&lt;=3,"Short Stay",IF(airbnb_data3[[#This Row],[minimum_nights]]&lt;=7,"Medium Stay","Long Stay"))</f>
        <v>Short Stay</v>
      </c>
    </row>
    <row r="159" spans="1:19" x14ac:dyDescent="0.35">
      <c r="A159" t="s">
        <v>273</v>
      </c>
      <c r="B159" t="s">
        <v>274</v>
      </c>
      <c r="C159" t="s">
        <v>28</v>
      </c>
      <c r="D159">
        <v>42.644599999999997</v>
      </c>
      <c r="E159">
        <v>-73.758849999999995</v>
      </c>
      <c r="F159" t="s">
        <v>31</v>
      </c>
      <c r="G159">
        <v>160</v>
      </c>
      <c r="H159">
        <v>1</v>
      </c>
      <c r="I159">
        <v>233</v>
      </c>
      <c r="J159" s="1">
        <v>46187</v>
      </c>
      <c r="K159">
        <v>5.99</v>
      </c>
      <c r="L159">
        <v>1</v>
      </c>
      <c r="M159">
        <v>330</v>
      </c>
      <c r="N159">
        <v>57</v>
      </c>
      <c r="O159" t="str">
        <f t="shared" si="4"/>
        <v>101-200</v>
      </c>
      <c r="P159" t="str">
        <f>IF(airbnb_data3[[#This Row],[price]]&lt;=100,"Budget",
IF(airbnb_data3[[#This Row],[price]]&lt;=200,"Mid-range",
IF(airbnb_data3[[#This Row],[price]]&lt;=300,"Premium","Luxury")))</f>
        <v>Mid-range</v>
      </c>
      <c r="Q159" t="str">
        <f>IF(airbnb_data3[[#This Row],[availability_365]]&lt;=120,"Low Availability",IF(airbnb_data3[[#This Row],[availability_365]]&lt;=240,"Medium Availability","High Availability"))</f>
        <v>High Availability</v>
      </c>
      <c r="R159" s="6" t="str">
        <f t="shared" si="5"/>
        <v>Medium</v>
      </c>
      <c r="S159" s="6" t="str">
        <f>IF(airbnb_data3[[#This Row],[minimum_nights]]&lt;=3,"Short Stay",IF(airbnb_data3[[#This Row],[minimum_nights]]&lt;=7,"Medium Stay","Long Stay"))</f>
        <v>Short Stay</v>
      </c>
    </row>
    <row r="160" spans="1:19" x14ac:dyDescent="0.35">
      <c r="A160" t="s">
        <v>275</v>
      </c>
      <c r="B160" t="s">
        <v>276</v>
      </c>
      <c r="C160" t="s">
        <v>68</v>
      </c>
      <c r="D160">
        <v>42.671770000000002</v>
      </c>
      <c r="E160">
        <v>-73.794640000000001</v>
      </c>
      <c r="F160" t="s">
        <v>31</v>
      </c>
      <c r="G160">
        <v>97</v>
      </c>
      <c r="H160">
        <v>4</v>
      </c>
      <c r="I160">
        <v>18</v>
      </c>
      <c r="J160" s="1">
        <v>46066</v>
      </c>
      <c r="K160">
        <v>0.51</v>
      </c>
      <c r="L160">
        <v>13</v>
      </c>
      <c r="M160">
        <v>75</v>
      </c>
      <c r="N160">
        <v>2</v>
      </c>
      <c r="O160" t="str">
        <f t="shared" si="4"/>
        <v>0-100</v>
      </c>
      <c r="P160" t="str">
        <f>IF(airbnb_data3[[#This Row],[price]]&lt;=100,"Budget",
IF(airbnb_data3[[#This Row],[price]]&lt;=200,"Mid-range",
IF(airbnb_data3[[#This Row],[price]]&lt;=300,"Premium","Luxury")))</f>
        <v>Budget</v>
      </c>
      <c r="Q160" t="str">
        <f>IF(airbnb_data3[[#This Row],[availability_365]]&lt;=120,"Low Availability",IF(airbnb_data3[[#This Row],[availability_365]]&lt;=240,"Medium Availability","High Availability"))</f>
        <v>Low Availability</v>
      </c>
      <c r="R160" s="6" t="str">
        <f t="shared" si="5"/>
        <v>Medium</v>
      </c>
      <c r="S160" s="6" t="str">
        <f>IF(airbnb_data3[[#This Row],[minimum_nights]]&lt;=3,"Short Stay",IF(airbnb_data3[[#This Row],[minimum_nights]]&lt;=7,"Medium Stay","Long Stay"))</f>
        <v>Medium Stay</v>
      </c>
    </row>
    <row r="161" spans="1:19" x14ac:dyDescent="0.35">
      <c r="A161" t="s">
        <v>277</v>
      </c>
      <c r="B161" t="s">
        <v>166</v>
      </c>
      <c r="C161" t="s">
        <v>21</v>
      </c>
      <c r="D161">
        <v>42.658169999999998</v>
      </c>
      <c r="E161">
        <v>-73.749350000000007</v>
      </c>
      <c r="F161" t="s">
        <v>22</v>
      </c>
      <c r="G161">
        <v>137</v>
      </c>
      <c r="H161">
        <v>3</v>
      </c>
      <c r="I161">
        <v>30</v>
      </c>
      <c r="J161" s="1">
        <v>46167</v>
      </c>
      <c r="K161">
        <v>0.8</v>
      </c>
      <c r="L161">
        <v>3</v>
      </c>
      <c r="M161">
        <v>339</v>
      </c>
      <c r="N161">
        <v>8</v>
      </c>
      <c r="O161" t="str">
        <f t="shared" si="4"/>
        <v>101-200</v>
      </c>
      <c r="P161" t="str">
        <f>IF(airbnb_data3[[#This Row],[price]]&lt;=100,"Budget",
IF(airbnb_data3[[#This Row],[price]]&lt;=200,"Mid-range",
IF(airbnb_data3[[#This Row],[price]]&lt;=300,"Premium","Luxury")))</f>
        <v>Mid-range</v>
      </c>
      <c r="Q161" t="str">
        <f>IF(airbnb_data3[[#This Row],[availability_365]]&lt;=120,"Low Availability",IF(airbnb_data3[[#This Row],[availability_365]]&lt;=240,"Medium Availability","High Availability"))</f>
        <v>High Availability</v>
      </c>
      <c r="R161" s="6" t="str">
        <f t="shared" si="5"/>
        <v>Medium</v>
      </c>
      <c r="S161" s="6" t="str">
        <f>IF(airbnb_data3[[#This Row],[minimum_nights]]&lt;=3,"Short Stay",IF(airbnb_data3[[#This Row],[minimum_nights]]&lt;=7,"Medium Stay","Long Stay"))</f>
        <v>Short Stay</v>
      </c>
    </row>
    <row r="162" spans="1:19" x14ac:dyDescent="0.35">
      <c r="A162" t="s">
        <v>278</v>
      </c>
      <c r="B162" t="s">
        <v>257</v>
      </c>
      <c r="C162" t="s">
        <v>34</v>
      </c>
      <c r="D162">
        <v>42.661279999999998</v>
      </c>
      <c r="E162">
        <v>-73.805480000000003</v>
      </c>
      <c r="F162" t="s">
        <v>31</v>
      </c>
      <c r="G162">
        <v>13</v>
      </c>
      <c r="H162">
        <v>90</v>
      </c>
      <c r="I162">
        <v>4</v>
      </c>
      <c r="J162" s="1">
        <v>45353</v>
      </c>
      <c r="K162">
        <v>0.12</v>
      </c>
      <c r="L162">
        <v>2</v>
      </c>
      <c r="M162">
        <v>203</v>
      </c>
      <c r="N162">
        <v>0</v>
      </c>
      <c r="O162" t="str">
        <f t="shared" si="4"/>
        <v>0-100</v>
      </c>
      <c r="P162" t="str">
        <f>IF(airbnb_data3[[#This Row],[price]]&lt;=100,"Budget",
IF(airbnb_data3[[#This Row],[price]]&lt;=200,"Mid-range",
IF(airbnb_data3[[#This Row],[price]]&lt;=300,"Premium","Luxury")))</f>
        <v>Budget</v>
      </c>
      <c r="Q162" t="str">
        <f>IF(airbnb_data3[[#This Row],[availability_365]]&lt;=120,"Low Availability",IF(airbnb_data3[[#This Row],[availability_365]]&lt;=240,"Medium Availability","High Availability"))</f>
        <v>Medium Availability</v>
      </c>
      <c r="R162" s="6" t="str">
        <f t="shared" si="5"/>
        <v>Medium</v>
      </c>
      <c r="S162" s="6" t="str">
        <f>IF(airbnb_data3[[#This Row],[minimum_nights]]&lt;=3,"Short Stay",IF(airbnb_data3[[#This Row],[minimum_nights]]&lt;=7,"Medium Stay","Long Stay"))</f>
        <v>Long Stay</v>
      </c>
    </row>
    <row r="163" spans="1:19" x14ac:dyDescent="0.35">
      <c r="A163" t="s">
        <v>279</v>
      </c>
      <c r="B163" t="s">
        <v>182</v>
      </c>
      <c r="C163" t="s">
        <v>25</v>
      </c>
      <c r="D163">
        <v>42.653790000000001</v>
      </c>
      <c r="E163">
        <v>-73.769009999999994</v>
      </c>
      <c r="F163" t="s">
        <v>22</v>
      </c>
      <c r="G163">
        <v>144</v>
      </c>
      <c r="H163">
        <v>1</v>
      </c>
      <c r="I163">
        <v>31</v>
      </c>
      <c r="J163" s="1">
        <v>46159</v>
      </c>
      <c r="K163">
        <v>0.81</v>
      </c>
      <c r="L163">
        <v>16</v>
      </c>
      <c r="M163">
        <v>356</v>
      </c>
      <c r="N163">
        <v>11</v>
      </c>
      <c r="O163" t="str">
        <f t="shared" si="4"/>
        <v>101-200</v>
      </c>
      <c r="P163" t="str">
        <f>IF(airbnb_data3[[#This Row],[price]]&lt;=100,"Budget",
IF(airbnb_data3[[#This Row],[price]]&lt;=200,"Mid-range",
IF(airbnb_data3[[#This Row],[price]]&lt;=300,"Premium","Luxury")))</f>
        <v>Mid-range</v>
      </c>
      <c r="Q163" t="str">
        <f>IF(airbnb_data3[[#This Row],[availability_365]]&lt;=120,"Low Availability",IF(airbnb_data3[[#This Row],[availability_365]]&lt;=240,"Medium Availability","High Availability"))</f>
        <v>High Availability</v>
      </c>
      <c r="R163" s="6" t="str">
        <f t="shared" si="5"/>
        <v>Medium</v>
      </c>
      <c r="S163" s="6" t="str">
        <f>IF(airbnb_data3[[#This Row],[minimum_nights]]&lt;=3,"Short Stay",IF(airbnb_data3[[#This Row],[minimum_nights]]&lt;=7,"Medium Stay","Long Stay"))</f>
        <v>Short Stay</v>
      </c>
    </row>
    <row r="164" spans="1:19" x14ac:dyDescent="0.35">
      <c r="A164" t="s">
        <v>280</v>
      </c>
      <c r="B164" t="s">
        <v>281</v>
      </c>
      <c r="C164" t="s">
        <v>47</v>
      </c>
      <c r="D164">
        <v>42.659973299999997</v>
      </c>
      <c r="E164">
        <v>-73.774743299999997</v>
      </c>
      <c r="F164" t="s">
        <v>22</v>
      </c>
      <c r="G164">
        <v>124</v>
      </c>
      <c r="H164">
        <v>1</v>
      </c>
      <c r="I164">
        <v>79</v>
      </c>
      <c r="J164" s="1">
        <v>46131</v>
      </c>
      <c r="K164">
        <v>2.1</v>
      </c>
      <c r="L164">
        <v>2</v>
      </c>
      <c r="M164">
        <v>206</v>
      </c>
      <c r="N164">
        <v>16</v>
      </c>
      <c r="O164" t="str">
        <f t="shared" si="4"/>
        <v>101-200</v>
      </c>
      <c r="P164" t="str">
        <f>IF(airbnb_data3[[#This Row],[price]]&lt;=100,"Budget",
IF(airbnb_data3[[#This Row],[price]]&lt;=200,"Mid-range",
IF(airbnb_data3[[#This Row],[price]]&lt;=300,"Premium","Luxury")))</f>
        <v>Mid-range</v>
      </c>
      <c r="Q164" t="str">
        <f>IF(airbnb_data3[[#This Row],[availability_365]]&lt;=120,"Low Availability",IF(airbnb_data3[[#This Row],[availability_365]]&lt;=240,"Medium Availability","High Availability"))</f>
        <v>Medium Availability</v>
      </c>
      <c r="R164" s="6" t="str">
        <f t="shared" si="5"/>
        <v>Medium</v>
      </c>
      <c r="S164" s="6" t="str">
        <f>IF(airbnb_data3[[#This Row],[minimum_nights]]&lt;=3,"Short Stay",IF(airbnb_data3[[#This Row],[minimum_nights]]&lt;=7,"Medium Stay","Long Stay"))</f>
        <v>Short Stay</v>
      </c>
    </row>
    <row r="165" spans="1:19" x14ac:dyDescent="0.35">
      <c r="A165" t="s">
        <v>282</v>
      </c>
      <c r="B165" t="s">
        <v>283</v>
      </c>
      <c r="C165" t="s">
        <v>21</v>
      </c>
      <c r="D165">
        <v>42.662460000000003</v>
      </c>
      <c r="E165">
        <v>-73.76576</v>
      </c>
      <c r="F165" t="s">
        <v>31</v>
      </c>
      <c r="G165">
        <v>49</v>
      </c>
      <c r="H165">
        <v>7</v>
      </c>
      <c r="I165">
        <v>32</v>
      </c>
      <c r="J165" s="1">
        <v>45968</v>
      </c>
      <c r="K165">
        <v>0.87</v>
      </c>
      <c r="L165">
        <v>2</v>
      </c>
      <c r="M165">
        <v>364</v>
      </c>
      <c r="N165">
        <v>5</v>
      </c>
      <c r="O165" t="str">
        <f t="shared" si="4"/>
        <v>0-100</v>
      </c>
      <c r="P165" t="str">
        <f>IF(airbnb_data3[[#This Row],[price]]&lt;=100,"Budget",
IF(airbnb_data3[[#This Row],[price]]&lt;=200,"Mid-range",
IF(airbnb_data3[[#This Row],[price]]&lt;=300,"Premium","Luxury")))</f>
        <v>Budget</v>
      </c>
      <c r="Q165" t="str">
        <f>IF(airbnb_data3[[#This Row],[availability_365]]&lt;=120,"Low Availability",IF(airbnb_data3[[#This Row],[availability_365]]&lt;=240,"Medium Availability","High Availability"))</f>
        <v>High Availability</v>
      </c>
      <c r="R165" s="6" t="str">
        <f t="shared" si="5"/>
        <v>Medium</v>
      </c>
      <c r="S165" s="6" t="str">
        <f>IF(airbnb_data3[[#This Row],[minimum_nights]]&lt;=3,"Short Stay",IF(airbnb_data3[[#This Row],[minimum_nights]]&lt;=7,"Medium Stay","Long Stay"))</f>
        <v>Medium Stay</v>
      </c>
    </row>
    <row r="166" spans="1:19" x14ac:dyDescent="0.35">
      <c r="A166" t="s">
        <v>284</v>
      </c>
      <c r="B166" t="s">
        <v>283</v>
      </c>
      <c r="C166" t="s">
        <v>21</v>
      </c>
      <c r="D166">
        <v>42.662877100000003</v>
      </c>
      <c r="E166">
        <v>-73.765340299999906</v>
      </c>
      <c r="F166" t="s">
        <v>31</v>
      </c>
      <c r="G166">
        <v>50</v>
      </c>
      <c r="H166">
        <v>7</v>
      </c>
      <c r="I166">
        <v>30</v>
      </c>
      <c r="J166" s="1">
        <v>45816</v>
      </c>
      <c r="K166">
        <v>0.8</v>
      </c>
      <c r="L166">
        <v>2</v>
      </c>
      <c r="M166">
        <v>312</v>
      </c>
      <c r="N166">
        <v>0</v>
      </c>
      <c r="O166" t="str">
        <f t="shared" si="4"/>
        <v>0-100</v>
      </c>
      <c r="P166" t="str">
        <f>IF(airbnb_data3[[#This Row],[price]]&lt;=100,"Budget",
IF(airbnb_data3[[#This Row],[price]]&lt;=200,"Mid-range",
IF(airbnb_data3[[#This Row],[price]]&lt;=300,"Premium","Luxury")))</f>
        <v>Budget</v>
      </c>
      <c r="Q166" t="str">
        <f>IF(airbnb_data3[[#This Row],[availability_365]]&lt;=120,"Low Availability",IF(airbnb_data3[[#This Row],[availability_365]]&lt;=240,"Medium Availability","High Availability"))</f>
        <v>High Availability</v>
      </c>
      <c r="R166" s="6" t="str">
        <f t="shared" si="5"/>
        <v>Medium</v>
      </c>
      <c r="S166" s="6" t="str">
        <f>IF(airbnb_data3[[#This Row],[minimum_nights]]&lt;=3,"Short Stay",IF(airbnb_data3[[#This Row],[minimum_nights]]&lt;=7,"Medium Stay","Long Stay"))</f>
        <v>Medium Stay</v>
      </c>
    </row>
    <row r="167" spans="1:19" x14ac:dyDescent="0.35">
      <c r="A167" t="s">
        <v>285</v>
      </c>
      <c r="B167" t="s">
        <v>286</v>
      </c>
      <c r="C167" t="s">
        <v>21</v>
      </c>
      <c r="D167">
        <v>42.657299999999999</v>
      </c>
      <c r="E167">
        <v>-73.752099999999999</v>
      </c>
      <c r="F167" t="s">
        <v>22</v>
      </c>
      <c r="G167">
        <v>190</v>
      </c>
      <c r="H167">
        <v>2</v>
      </c>
      <c r="I167">
        <v>19</v>
      </c>
      <c r="J167" s="1">
        <v>46173</v>
      </c>
      <c r="K167">
        <v>0.51</v>
      </c>
      <c r="L167">
        <v>4</v>
      </c>
      <c r="M167">
        <v>354</v>
      </c>
      <c r="N167">
        <v>3</v>
      </c>
      <c r="O167" t="str">
        <f t="shared" si="4"/>
        <v>101-200</v>
      </c>
      <c r="P167" t="str">
        <f>IF(airbnb_data3[[#This Row],[price]]&lt;=100,"Budget",
IF(airbnb_data3[[#This Row],[price]]&lt;=200,"Mid-range",
IF(airbnb_data3[[#This Row],[price]]&lt;=300,"Premium","Luxury")))</f>
        <v>Mid-range</v>
      </c>
      <c r="Q167" t="str">
        <f>IF(airbnb_data3[[#This Row],[availability_365]]&lt;=120,"Low Availability",IF(airbnb_data3[[#This Row],[availability_365]]&lt;=240,"Medium Availability","High Availability"))</f>
        <v>High Availability</v>
      </c>
      <c r="R167" s="6" t="str">
        <f t="shared" si="5"/>
        <v>Medium</v>
      </c>
      <c r="S167" s="6" t="str">
        <f>IF(airbnb_data3[[#This Row],[minimum_nights]]&lt;=3,"Short Stay",IF(airbnb_data3[[#This Row],[minimum_nights]]&lt;=7,"Medium Stay","Long Stay"))</f>
        <v>Short Stay</v>
      </c>
    </row>
    <row r="168" spans="1:19" x14ac:dyDescent="0.35">
      <c r="A168" t="s">
        <v>287</v>
      </c>
      <c r="B168" t="s">
        <v>288</v>
      </c>
      <c r="C168" t="s">
        <v>47</v>
      </c>
      <c r="D168">
        <v>42.660870000000003</v>
      </c>
      <c r="E168">
        <v>-73.786550000000005</v>
      </c>
      <c r="F168" t="s">
        <v>22</v>
      </c>
      <c r="G168">
        <v>307</v>
      </c>
      <c r="H168">
        <v>2</v>
      </c>
      <c r="I168">
        <v>66</v>
      </c>
      <c r="J168" s="1">
        <v>46180</v>
      </c>
      <c r="K168">
        <v>1.81</v>
      </c>
      <c r="L168">
        <v>1</v>
      </c>
      <c r="M168">
        <v>245</v>
      </c>
      <c r="N168">
        <v>13</v>
      </c>
      <c r="O168" t="str">
        <f t="shared" si="4"/>
        <v>301-500</v>
      </c>
      <c r="P168" t="str">
        <f>IF(airbnb_data3[[#This Row],[price]]&lt;=100,"Budget",
IF(airbnb_data3[[#This Row],[price]]&lt;=200,"Mid-range",
IF(airbnb_data3[[#This Row],[price]]&lt;=300,"Premium","Luxury")))</f>
        <v>Luxury</v>
      </c>
      <c r="Q168" t="str">
        <f>IF(airbnb_data3[[#This Row],[availability_365]]&lt;=120,"Low Availability",IF(airbnb_data3[[#This Row],[availability_365]]&lt;=240,"Medium Availability","High Availability"))</f>
        <v>High Availability</v>
      </c>
      <c r="R168" s="6" t="str">
        <f t="shared" si="5"/>
        <v>Medium</v>
      </c>
      <c r="S168" s="6" t="str">
        <f>IF(airbnb_data3[[#This Row],[minimum_nights]]&lt;=3,"Short Stay",IF(airbnb_data3[[#This Row],[minimum_nights]]&lt;=7,"Medium Stay","Long Stay"))</f>
        <v>Short Stay</v>
      </c>
    </row>
    <row r="169" spans="1:19" x14ac:dyDescent="0.35">
      <c r="A169" t="s">
        <v>289</v>
      </c>
      <c r="B169" t="s">
        <v>132</v>
      </c>
      <c r="C169" t="s">
        <v>64</v>
      </c>
      <c r="D169">
        <v>42.647869999999998</v>
      </c>
      <c r="E169">
        <v>-73.767070000000004</v>
      </c>
      <c r="F169" t="s">
        <v>22</v>
      </c>
      <c r="G169">
        <v>257</v>
      </c>
      <c r="H169">
        <v>1</v>
      </c>
      <c r="I169">
        <v>65</v>
      </c>
      <c r="J169" s="1">
        <v>46172</v>
      </c>
      <c r="K169">
        <v>1.78</v>
      </c>
      <c r="L169">
        <v>16</v>
      </c>
      <c r="M169">
        <v>182</v>
      </c>
      <c r="N169">
        <v>15</v>
      </c>
      <c r="O169" t="str">
        <f t="shared" si="4"/>
        <v>201-300</v>
      </c>
      <c r="P169" t="str">
        <f>IF(airbnb_data3[[#This Row],[price]]&lt;=100,"Budget",
IF(airbnb_data3[[#This Row],[price]]&lt;=200,"Mid-range",
IF(airbnb_data3[[#This Row],[price]]&lt;=300,"Premium","Luxury")))</f>
        <v>Premium</v>
      </c>
      <c r="Q169" t="str">
        <f>IF(airbnb_data3[[#This Row],[availability_365]]&lt;=120,"Low Availability",IF(airbnb_data3[[#This Row],[availability_365]]&lt;=240,"Medium Availability","High Availability"))</f>
        <v>Medium Availability</v>
      </c>
      <c r="R169" s="6" t="str">
        <f t="shared" si="5"/>
        <v>Medium</v>
      </c>
      <c r="S169" s="6" t="str">
        <f>IF(airbnb_data3[[#This Row],[minimum_nights]]&lt;=3,"Short Stay",IF(airbnb_data3[[#This Row],[minimum_nights]]&lt;=7,"Medium Stay","Long Stay"))</f>
        <v>Short Stay</v>
      </c>
    </row>
    <row r="170" spans="1:19" x14ac:dyDescent="0.35">
      <c r="A170" t="s">
        <v>290</v>
      </c>
      <c r="B170" t="s">
        <v>122</v>
      </c>
      <c r="C170" t="s">
        <v>47</v>
      </c>
      <c r="D170">
        <v>42.661740000000002</v>
      </c>
      <c r="E170">
        <v>-73.783249999999995</v>
      </c>
      <c r="F170" t="s">
        <v>31</v>
      </c>
      <c r="G170">
        <v>46</v>
      </c>
      <c r="H170">
        <v>30</v>
      </c>
      <c r="I170">
        <v>2</v>
      </c>
      <c r="J170" s="1">
        <v>46125</v>
      </c>
      <c r="K170">
        <v>0.36</v>
      </c>
      <c r="L170">
        <v>21</v>
      </c>
      <c r="M170">
        <v>325</v>
      </c>
      <c r="N170">
        <v>2</v>
      </c>
      <c r="O170" t="str">
        <f t="shared" si="4"/>
        <v>0-100</v>
      </c>
      <c r="P170" t="str">
        <f>IF(airbnb_data3[[#This Row],[price]]&lt;=100,"Budget",
IF(airbnb_data3[[#This Row],[price]]&lt;=200,"Mid-range",
IF(airbnb_data3[[#This Row],[price]]&lt;=300,"Premium","Luxury")))</f>
        <v>Budget</v>
      </c>
      <c r="Q170" t="str">
        <f>IF(airbnb_data3[[#This Row],[availability_365]]&lt;=120,"Low Availability",IF(airbnb_data3[[#This Row],[availability_365]]&lt;=240,"Medium Availability","High Availability"))</f>
        <v>High Availability</v>
      </c>
      <c r="R170" s="6" t="str">
        <f t="shared" si="5"/>
        <v>High</v>
      </c>
      <c r="S170" s="6" t="str">
        <f>IF(airbnb_data3[[#This Row],[minimum_nights]]&lt;=3,"Short Stay",IF(airbnb_data3[[#This Row],[minimum_nights]]&lt;=7,"Medium Stay","Long Stay"))</f>
        <v>Long Stay</v>
      </c>
    </row>
    <row r="171" spans="1:19" x14ac:dyDescent="0.35">
      <c r="A171" t="s">
        <v>291</v>
      </c>
      <c r="B171" t="s">
        <v>36</v>
      </c>
      <c r="C171" t="s">
        <v>68</v>
      </c>
      <c r="D171">
        <v>42.665295899999997</v>
      </c>
      <c r="E171">
        <v>-73.786877799999999</v>
      </c>
      <c r="F171" t="s">
        <v>22</v>
      </c>
      <c r="G171">
        <v>196</v>
      </c>
      <c r="H171">
        <v>1</v>
      </c>
      <c r="I171">
        <v>23</v>
      </c>
      <c r="J171" s="1">
        <v>46005</v>
      </c>
      <c r="K171">
        <v>0.63</v>
      </c>
      <c r="L171">
        <v>8</v>
      </c>
      <c r="M171">
        <v>264</v>
      </c>
      <c r="N171">
        <v>4</v>
      </c>
      <c r="O171" t="str">
        <f t="shared" si="4"/>
        <v>101-200</v>
      </c>
      <c r="P171" t="str">
        <f>IF(airbnb_data3[[#This Row],[price]]&lt;=100,"Budget",
IF(airbnb_data3[[#This Row],[price]]&lt;=200,"Mid-range",
IF(airbnb_data3[[#This Row],[price]]&lt;=300,"Premium","Luxury")))</f>
        <v>Mid-range</v>
      </c>
      <c r="Q171" t="str">
        <f>IF(airbnb_data3[[#This Row],[availability_365]]&lt;=120,"Low Availability",IF(airbnb_data3[[#This Row],[availability_365]]&lt;=240,"Medium Availability","High Availability"))</f>
        <v>High Availability</v>
      </c>
      <c r="R171" s="6" t="str">
        <f t="shared" si="5"/>
        <v>Medium</v>
      </c>
      <c r="S171" s="6" t="str">
        <f>IF(airbnb_data3[[#This Row],[minimum_nights]]&lt;=3,"Short Stay",IF(airbnb_data3[[#This Row],[minimum_nights]]&lt;=7,"Medium Stay","Long Stay"))</f>
        <v>Short Stay</v>
      </c>
    </row>
    <row r="172" spans="1:19" x14ac:dyDescent="0.35">
      <c r="A172" t="s">
        <v>292</v>
      </c>
      <c r="B172" t="s">
        <v>122</v>
      </c>
      <c r="C172" t="s">
        <v>47</v>
      </c>
      <c r="D172">
        <v>42.662170000000003</v>
      </c>
      <c r="E172">
        <v>-73.782989999999998</v>
      </c>
      <c r="F172" t="s">
        <v>22</v>
      </c>
      <c r="G172">
        <v>300</v>
      </c>
      <c r="H172">
        <v>1</v>
      </c>
      <c r="I172">
        <v>108</v>
      </c>
      <c r="J172" s="1">
        <v>46174</v>
      </c>
      <c r="K172">
        <v>3.03</v>
      </c>
      <c r="L172">
        <v>21</v>
      </c>
      <c r="M172">
        <v>352</v>
      </c>
      <c r="N172">
        <v>40</v>
      </c>
      <c r="O172" t="str">
        <f t="shared" si="4"/>
        <v>201-300</v>
      </c>
      <c r="P172" t="str">
        <f>IF(airbnb_data3[[#This Row],[price]]&lt;=100,"Budget",
IF(airbnb_data3[[#This Row],[price]]&lt;=200,"Mid-range",
IF(airbnb_data3[[#This Row],[price]]&lt;=300,"Premium","Luxury")))</f>
        <v>Premium</v>
      </c>
      <c r="Q172" t="str">
        <f>IF(airbnb_data3[[#This Row],[availability_365]]&lt;=120,"Low Availability",IF(airbnb_data3[[#This Row],[availability_365]]&lt;=240,"Medium Availability","High Availability"))</f>
        <v>High Availability</v>
      </c>
      <c r="R172" s="6" t="str">
        <f t="shared" si="5"/>
        <v>Medium</v>
      </c>
      <c r="S172" s="6" t="str">
        <f>IF(airbnb_data3[[#This Row],[minimum_nights]]&lt;=3,"Short Stay",IF(airbnb_data3[[#This Row],[minimum_nights]]&lt;=7,"Medium Stay","Long Stay"))</f>
        <v>Short Stay</v>
      </c>
    </row>
    <row r="173" spans="1:19" x14ac:dyDescent="0.35">
      <c r="A173" t="s">
        <v>293</v>
      </c>
      <c r="B173" t="s">
        <v>294</v>
      </c>
      <c r="C173" t="s">
        <v>34</v>
      </c>
      <c r="D173">
        <v>42.658720000000002</v>
      </c>
      <c r="E173">
        <v>-73.795550000000006</v>
      </c>
      <c r="F173" t="s">
        <v>22</v>
      </c>
      <c r="G173">
        <v>73</v>
      </c>
      <c r="H173">
        <v>28</v>
      </c>
      <c r="I173">
        <v>7</v>
      </c>
      <c r="J173" s="1">
        <v>46087</v>
      </c>
      <c r="K173">
        <v>0.2</v>
      </c>
      <c r="L173">
        <v>1</v>
      </c>
      <c r="M173">
        <v>273</v>
      </c>
      <c r="N173">
        <v>3</v>
      </c>
      <c r="O173" t="str">
        <f t="shared" si="4"/>
        <v>0-100</v>
      </c>
      <c r="P173" t="str">
        <f>IF(airbnb_data3[[#This Row],[price]]&lt;=100,"Budget",
IF(airbnb_data3[[#This Row],[price]]&lt;=200,"Mid-range",
IF(airbnb_data3[[#This Row],[price]]&lt;=300,"Premium","Luxury")))</f>
        <v>Budget</v>
      </c>
      <c r="Q173" t="str">
        <f>IF(airbnb_data3[[#This Row],[availability_365]]&lt;=120,"Low Availability",IF(airbnb_data3[[#This Row],[availability_365]]&lt;=240,"Medium Availability","High Availability"))</f>
        <v>High Availability</v>
      </c>
      <c r="R173" s="6" t="str">
        <f t="shared" si="5"/>
        <v>Medium</v>
      </c>
      <c r="S173" s="6" t="str">
        <f>IF(airbnb_data3[[#This Row],[minimum_nights]]&lt;=3,"Short Stay",IF(airbnb_data3[[#This Row],[minimum_nights]]&lt;=7,"Medium Stay","Long Stay"))</f>
        <v>Long Stay</v>
      </c>
    </row>
    <row r="174" spans="1:19" x14ac:dyDescent="0.35">
      <c r="A174" t="s">
        <v>295</v>
      </c>
      <c r="B174" t="s">
        <v>230</v>
      </c>
      <c r="C174" t="s">
        <v>47</v>
      </c>
      <c r="D174">
        <v>42.662610000000001</v>
      </c>
      <c r="E174">
        <v>-73.791579999999996</v>
      </c>
      <c r="F174" t="s">
        <v>31</v>
      </c>
      <c r="G174">
        <v>92</v>
      </c>
      <c r="H174">
        <v>1</v>
      </c>
      <c r="I174">
        <v>18</v>
      </c>
      <c r="J174" s="1">
        <v>46068</v>
      </c>
      <c r="K174">
        <v>0.5</v>
      </c>
      <c r="L174">
        <v>2</v>
      </c>
      <c r="M174">
        <v>36</v>
      </c>
      <c r="N174">
        <v>8</v>
      </c>
      <c r="O174" t="str">
        <f t="shared" si="4"/>
        <v>0-100</v>
      </c>
      <c r="P174" t="str">
        <f>IF(airbnb_data3[[#This Row],[price]]&lt;=100,"Budget",
IF(airbnb_data3[[#This Row],[price]]&lt;=200,"Mid-range",
IF(airbnb_data3[[#This Row],[price]]&lt;=300,"Premium","Luxury")))</f>
        <v>Budget</v>
      </c>
      <c r="Q174" t="str">
        <f>IF(airbnb_data3[[#This Row],[availability_365]]&lt;=120,"Low Availability",IF(airbnb_data3[[#This Row],[availability_365]]&lt;=240,"Medium Availability","High Availability"))</f>
        <v>Low Availability</v>
      </c>
      <c r="R174" s="6" t="str">
        <f t="shared" si="5"/>
        <v>Medium</v>
      </c>
      <c r="S174" s="6" t="str">
        <f>IF(airbnb_data3[[#This Row],[minimum_nights]]&lt;=3,"Short Stay",IF(airbnb_data3[[#This Row],[minimum_nights]]&lt;=7,"Medium Stay","Long Stay"))</f>
        <v>Short Stay</v>
      </c>
    </row>
    <row r="175" spans="1:19" x14ac:dyDescent="0.35">
      <c r="A175" t="s">
        <v>296</v>
      </c>
      <c r="B175" t="s">
        <v>297</v>
      </c>
      <c r="C175" t="s">
        <v>54</v>
      </c>
      <c r="D175">
        <v>42.672919999999998</v>
      </c>
      <c r="E175">
        <v>-73.777600000000007</v>
      </c>
      <c r="F175" t="s">
        <v>31</v>
      </c>
      <c r="G175">
        <v>107</v>
      </c>
      <c r="H175">
        <v>1</v>
      </c>
      <c r="I175">
        <v>0</v>
      </c>
      <c r="K175">
        <v>0</v>
      </c>
      <c r="L175">
        <v>1</v>
      </c>
      <c r="M175">
        <v>364</v>
      </c>
      <c r="N175">
        <v>0</v>
      </c>
      <c r="O175" t="str">
        <f t="shared" si="4"/>
        <v>101-200</v>
      </c>
      <c r="P175" t="str">
        <f>IF(airbnb_data3[[#This Row],[price]]&lt;=100,"Budget",
IF(airbnb_data3[[#This Row],[price]]&lt;=200,"Mid-range",
IF(airbnb_data3[[#This Row],[price]]&lt;=300,"Premium","Luxury")))</f>
        <v>Mid-range</v>
      </c>
      <c r="Q175" t="str">
        <f>IF(airbnb_data3[[#This Row],[availability_365]]&lt;=120,"Low Availability",IF(airbnb_data3[[#This Row],[availability_365]]&lt;=240,"Medium Availability","High Availability"))</f>
        <v>High Availability</v>
      </c>
      <c r="R175" s="6" t="str">
        <f t="shared" si="5"/>
        <v>Medium</v>
      </c>
      <c r="S175" s="6" t="str">
        <f>IF(airbnb_data3[[#This Row],[minimum_nights]]&lt;=3,"Short Stay",IF(airbnb_data3[[#This Row],[minimum_nights]]&lt;=7,"Medium Stay","Long Stay"))</f>
        <v>Short Stay</v>
      </c>
    </row>
    <row r="176" spans="1:19" x14ac:dyDescent="0.35">
      <c r="A176" t="s">
        <v>298</v>
      </c>
      <c r="B176" t="s">
        <v>299</v>
      </c>
      <c r="C176" t="s">
        <v>21</v>
      </c>
      <c r="D176">
        <v>42.6586</v>
      </c>
      <c r="E176">
        <v>-73.757429999999999</v>
      </c>
      <c r="F176" t="s">
        <v>22</v>
      </c>
      <c r="G176">
        <v>103</v>
      </c>
      <c r="H176">
        <v>7</v>
      </c>
      <c r="I176">
        <v>3</v>
      </c>
      <c r="J176" s="1">
        <v>45647</v>
      </c>
      <c r="K176">
        <v>0.09</v>
      </c>
      <c r="L176">
        <v>4</v>
      </c>
      <c r="M176">
        <v>268</v>
      </c>
      <c r="N176">
        <v>0</v>
      </c>
      <c r="O176" t="str">
        <f t="shared" si="4"/>
        <v>101-200</v>
      </c>
      <c r="P176" t="str">
        <f>IF(airbnb_data3[[#This Row],[price]]&lt;=100,"Budget",
IF(airbnb_data3[[#This Row],[price]]&lt;=200,"Mid-range",
IF(airbnb_data3[[#This Row],[price]]&lt;=300,"Premium","Luxury")))</f>
        <v>Mid-range</v>
      </c>
      <c r="Q176" t="str">
        <f>IF(airbnb_data3[[#This Row],[availability_365]]&lt;=120,"Low Availability",IF(airbnb_data3[[#This Row],[availability_365]]&lt;=240,"Medium Availability","High Availability"))</f>
        <v>High Availability</v>
      </c>
      <c r="R176" s="6" t="str">
        <f t="shared" si="5"/>
        <v>Medium</v>
      </c>
      <c r="S176" s="6" t="str">
        <f>IF(airbnb_data3[[#This Row],[minimum_nights]]&lt;=3,"Short Stay",IF(airbnb_data3[[#This Row],[minimum_nights]]&lt;=7,"Medium Stay","Long Stay"))</f>
        <v>Medium Stay</v>
      </c>
    </row>
    <row r="177" spans="1:19" x14ac:dyDescent="0.35">
      <c r="A177" t="s">
        <v>302</v>
      </c>
      <c r="B177" t="s">
        <v>95</v>
      </c>
      <c r="C177" t="s">
        <v>68</v>
      </c>
      <c r="D177">
        <v>42.672240000000002</v>
      </c>
      <c r="E177">
        <v>-73.793009999999995</v>
      </c>
      <c r="F177" t="s">
        <v>22</v>
      </c>
      <c r="G177">
        <v>172</v>
      </c>
      <c r="H177">
        <v>2</v>
      </c>
      <c r="I177">
        <v>52</v>
      </c>
      <c r="J177" s="1">
        <v>46158</v>
      </c>
      <c r="K177">
        <v>1.47</v>
      </c>
      <c r="L177">
        <v>14</v>
      </c>
      <c r="M177">
        <v>10</v>
      </c>
      <c r="N177">
        <v>11</v>
      </c>
      <c r="O177" t="str">
        <f t="shared" si="4"/>
        <v>101-200</v>
      </c>
      <c r="P177" t="str">
        <f>IF(airbnb_data3[[#This Row],[price]]&lt;=100,"Budget",
IF(airbnb_data3[[#This Row],[price]]&lt;=200,"Mid-range",
IF(airbnb_data3[[#This Row],[price]]&lt;=300,"Premium","Luxury")))</f>
        <v>Mid-range</v>
      </c>
      <c r="Q177" t="str">
        <f>IF(airbnb_data3[[#This Row],[availability_365]]&lt;=120,"Low Availability",IF(airbnb_data3[[#This Row],[availability_365]]&lt;=240,"Medium Availability","High Availability"))</f>
        <v>Low Availability</v>
      </c>
      <c r="R177" s="6" t="str">
        <f t="shared" si="5"/>
        <v>Medium</v>
      </c>
      <c r="S177" s="6" t="str">
        <f>IF(airbnb_data3[[#This Row],[minimum_nights]]&lt;=3,"Short Stay",IF(airbnb_data3[[#This Row],[minimum_nights]]&lt;=7,"Medium Stay","Long Stay"))</f>
        <v>Short Stay</v>
      </c>
    </row>
    <row r="178" spans="1:19" x14ac:dyDescent="0.35">
      <c r="A178" t="s">
        <v>303</v>
      </c>
      <c r="B178" t="s">
        <v>243</v>
      </c>
      <c r="C178" t="s">
        <v>25</v>
      </c>
      <c r="D178">
        <v>42.656550000000003</v>
      </c>
      <c r="E178">
        <v>-73.774339999999995</v>
      </c>
      <c r="F178" t="s">
        <v>31</v>
      </c>
      <c r="G178">
        <v>167</v>
      </c>
      <c r="H178">
        <v>1</v>
      </c>
      <c r="I178">
        <v>10</v>
      </c>
      <c r="J178" s="1">
        <v>46158</v>
      </c>
      <c r="K178">
        <v>0.28000000000000003</v>
      </c>
      <c r="L178">
        <v>6</v>
      </c>
      <c r="M178">
        <v>178</v>
      </c>
      <c r="N178">
        <v>2</v>
      </c>
      <c r="O178" t="str">
        <f t="shared" si="4"/>
        <v>101-200</v>
      </c>
      <c r="P178" t="str">
        <f>IF(airbnb_data3[[#This Row],[price]]&lt;=100,"Budget",
IF(airbnb_data3[[#This Row],[price]]&lt;=200,"Mid-range",
IF(airbnb_data3[[#This Row],[price]]&lt;=300,"Premium","Luxury")))</f>
        <v>Mid-range</v>
      </c>
      <c r="Q178" t="str">
        <f>IF(airbnb_data3[[#This Row],[availability_365]]&lt;=120,"Low Availability",IF(airbnb_data3[[#This Row],[availability_365]]&lt;=240,"Medium Availability","High Availability"))</f>
        <v>Medium Availability</v>
      </c>
      <c r="R178" s="6" t="str">
        <f t="shared" si="5"/>
        <v>Medium</v>
      </c>
      <c r="S178" s="6" t="str">
        <f>IF(airbnb_data3[[#This Row],[minimum_nights]]&lt;=3,"Short Stay",IF(airbnb_data3[[#This Row],[minimum_nights]]&lt;=7,"Medium Stay","Long Stay"))</f>
        <v>Short Stay</v>
      </c>
    </row>
    <row r="179" spans="1:19" x14ac:dyDescent="0.35">
      <c r="A179" t="s">
        <v>304</v>
      </c>
      <c r="B179" t="s">
        <v>305</v>
      </c>
      <c r="C179" t="s">
        <v>25</v>
      </c>
      <c r="D179">
        <v>42.658670000000001</v>
      </c>
      <c r="E179">
        <v>-73.774789999999996</v>
      </c>
      <c r="F179" t="s">
        <v>31</v>
      </c>
      <c r="G179">
        <v>174</v>
      </c>
      <c r="H179">
        <v>1</v>
      </c>
      <c r="I179">
        <v>3</v>
      </c>
      <c r="J179" s="1">
        <v>46131</v>
      </c>
      <c r="K179">
        <v>0.09</v>
      </c>
      <c r="L179">
        <v>11</v>
      </c>
      <c r="M179">
        <v>189</v>
      </c>
      <c r="N179">
        <v>1</v>
      </c>
      <c r="O179" t="str">
        <f t="shared" si="4"/>
        <v>101-200</v>
      </c>
      <c r="P179" t="str">
        <f>IF(airbnb_data3[[#This Row],[price]]&lt;=100,"Budget",
IF(airbnb_data3[[#This Row],[price]]&lt;=200,"Mid-range",
IF(airbnb_data3[[#This Row],[price]]&lt;=300,"Premium","Luxury")))</f>
        <v>Mid-range</v>
      </c>
      <c r="Q179" t="str">
        <f>IF(airbnb_data3[[#This Row],[availability_365]]&lt;=120,"Low Availability",IF(airbnb_data3[[#This Row],[availability_365]]&lt;=240,"Medium Availability","High Availability"))</f>
        <v>Medium Availability</v>
      </c>
      <c r="R179" s="6" t="str">
        <f t="shared" si="5"/>
        <v>Medium</v>
      </c>
      <c r="S179" s="6" t="str">
        <f>IF(airbnb_data3[[#This Row],[minimum_nights]]&lt;=3,"Short Stay",IF(airbnb_data3[[#This Row],[minimum_nights]]&lt;=7,"Medium Stay","Long Stay"))</f>
        <v>Short Stay</v>
      </c>
    </row>
    <row r="180" spans="1:19" x14ac:dyDescent="0.35">
      <c r="A180" t="s">
        <v>306</v>
      </c>
      <c r="B180" t="s">
        <v>305</v>
      </c>
      <c r="C180" t="s">
        <v>47</v>
      </c>
      <c r="D180">
        <v>42.659080000000003</v>
      </c>
      <c r="E180">
        <v>-73.774559999999994</v>
      </c>
      <c r="F180" t="s">
        <v>31</v>
      </c>
      <c r="G180">
        <v>174</v>
      </c>
      <c r="H180">
        <v>1</v>
      </c>
      <c r="I180">
        <v>9</v>
      </c>
      <c r="J180" s="1">
        <v>45871</v>
      </c>
      <c r="K180">
        <v>0.26</v>
      </c>
      <c r="L180">
        <v>11</v>
      </c>
      <c r="M180">
        <v>147</v>
      </c>
      <c r="N180">
        <v>2</v>
      </c>
      <c r="O180" t="str">
        <f t="shared" si="4"/>
        <v>101-200</v>
      </c>
      <c r="P180" t="str">
        <f>IF(airbnb_data3[[#This Row],[price]]&lt;=100,"Budget",
IF(airbnb_data3[[#This Row],[price]]&lt;=200,"Mid-range",
IF(airbnb_data3[[#This Row],[price]]&lt;=300,"Premium","Luxury")))</f>
        <v>Mid-range</v>
      </c>
      <c r="Q180" t="str">
        <f>IF(airbnb_data3[[#This Row],[availability_365]]&lt;=120,"Low Availability",IF(airbnb_data3[[#This Row],[availability_365]]&lt;=240,"Medium Availability","High Availability"))</f>
        <v>Medium Availability</v>
      </c>
      <c r="R180" s="6" t="str">
        <f t="shared" si="5"/>
        <v>Medium</v>
      </c>
      <c r="S180" s="6" t="str">
        <f>IF(airbnb_data3[[#This Row],[minimum_nights]]&lt;=3,"Short Stay",IF(airbnb_data3[[#This Row],[minimum_nights]]&lt;=7,"Medium Stay","Long Stay"))</f>
        <v>Short Stay</v>
      </c>
    </row>
    <row r="181" spans="1:19" x14ac:dyDescent="0.35">
      <c r="A181" t="s">
        <v>307</v>
      </c>
      <c r="B181" t="s">
        <v>305</v>
      </c>
      <c r="C181" t="s">
        <v>47</v>
      </c>
      <c r="D181">
        <v>42.660429999999998</v>
      </c>
      <c r="E181">
        <v>-73.774320000000003</v>
      </c>
      <c r="F181" t="s">
        <v>31</v>
      </c>
      <c r="G181">
        <v>174</v>
      </c>
      <c r="H181">
        <v>1</v>
      </c>
      <c r="I181">
        <v>3</v>
      </c>
      <c r="J181" s="1">
        <v>45848</v>
      </c>
      <c r="K181">
        <v>0.14000000000000001</v>
      </c>
      <c r="L181">
        <v>11</v>
      </c>
      <c r="M181">
        <v>188</v>
      </c>
      <c r="N181">
        <v>1</v>
      </c>
      <c r="O181" t="str">
        <f t="shared" si="4"/>
        <v>101-200</v>
      </c>
      <c r="P181" t="str">
        <f>IF(airbnb_data3[[#This Row],[price]]&lt;=100,"Budget",
IF(airbnb_data3[[#This Row],[price]]&lt;=200,"Mid-range",
IF(airbnb_data3[[#This Row],[price]]&lt;=300,"Premium","Luxury")))</f>
        <v>Mid-range</v>
      </c>
      <c r="Q181" t="str">
        <f>IF(airbnb_data3[[#This Row],[availability_365]]&lt;=120,"Low Availability",IF(airbnb_data3[[#This Row],[availability_365]]&lt;=240,"Medium Availability","High Availability"))</f>
        <v>Medium Availability</v>
      </c>
      <c r="R181" s="6" t="str">
        <f t="shared" si="5"/>
        <v>Medium</v>
      </c>
      <c r="S181" s="6" t="str">
        <f>IF(airbnb_data3[[#This Row],[minimum_nights]]&lt;=3,"Short Stay",IF(airbnb_data3[[#This Row],[minimum_nights]]&lt;=7,"Medium Stay","Long Stay"))</f>
        <v>Short Stay</v>
      </c>
    </row>
    <row r="182" spans="1:19" x14ac:dyDescent="0.35">
      <c r="A182" t="s">
        <v>308</v>
      </c>
      <c r="B182" t="s">
        <v>305</v>
      </c>
      <c r="C182" t="s">
        <v>25</v>
      </c>
      <c r="D182">
        <v>42.658470000000001</v>
      </c>
      <c r="E182">
        <v>-73.772720000000007</v>
      </c>
      <c r="F182" t="s">
        <v>31</v>
      </c>
      <c r="G182">
        <v>174</v>
      </c>
      <c r="H182">
        <v>1</v>
      </c>
      <c r="I182">
        <v>7</v>
      </c>
      <c r="J182" s="1">
        <v>46144</v>
      </c>
      <c r="K182">
        <v>0.22</v>
      </c>
      <c r="L182">
        <v>11</v>
      </c>
      <c r="M182">
        <v>190</v>
      </c>
      <c r="N182">
        <v>1</v>
      </c>
      <c r="O182" t="str">
        <f t="shared" si="4"/>
        <v>101-200</v>
      </c>
      <c r="P182" t="str">
        <f>IF(airbnb_data3[[#This Row],[price]]&lt;=100,"Budget",
IF(airbnb_data3[[#This Row],[price]]&lt;=200,"Mid-range",
IF(airbnb_data3[[#This Row],[price]]&lt;=300,"Premium","Luxury")))</f>
        <v>Mid-range</v>
      </c>
      <c r="Q182" t="str">
        <f>IF(airbnb_data3[[#This Row],[availability_365]]&lt;=120,"Low Availability",IF(airbnb_data3[[#This Row],[availability_365]]&lt;=240,"Medium Availability","High Availability"))</f>
        <v>Medium Availability</v>
      </c>
      <c r="R182" s="6" t="str">
        <f t="shared" si="5"/>
        <v>Medium</v>
      </c>
      <c r="S182" s="6" t="str">
        <f>IF(airbnb_data3[[#This Row],[minimum_nights]]&lt;=3,"Short Stay",IF(airbnb_data3[[#This Row],[minimum_nights]]&lt;=7,"Medium Stay","Long Stay"))</f>
        <v>Short Stay</v>
      </c>
    </row>
    <row r="183" spans="1:19" x14ac:dyDescent="0.35">
      <c r="A183" t="s">
        <v>309</v>
      </c>
      <c r="B183" t="s">
        <v>305</v>
      </c>
      <c r="C183" t="s">
        <v>25</v>
      </c>
      <c r="D183">
        <v>42.659080000000003</v>
      </c>
      <c r="E183">
        <v>-73.773259999999993</v>
      </c>
      <c r="F183" t="s">
        <v>31</v>
      </c>
      <c r="G183">
        <v>292</v>
      </c>
      <c r="H183">
        <v>1</v>
      </c>
      <c r="I183">
        <v>4</v>
      </c>
      <c r="J183" s="1">
        <v>46082</v>
      </c>
      <c r="K183">
        <v>0.13</v>
      </c>
      <c r="L183">
        <v>11</v>
      </c>
      <c r="M183">
        <v>182</v>
      </c>
      <c r="N183">
        <v>2</v>
      </c>
      <c r="O183" t="str">
        <f t="shared" si="4"/>
        <v>201-300</v>
      </c>
      <c r="P183" t="str">
        <f>IF(airbnb_data3[[#This Row],[price]]&lt;=100,"Budget",
IF(airbnb_data3[[#This Row],[price]]&lt;=200,"Mid-range",
IF(airbnb_data3[[#This Row],[price]]&lt;=300,"Premium","Luxury")))</f>
        <v>Premium</v>
      </c>
      <c r="Q183" t="str">
        <f>IF(airbnb_data3[[#This Row],[availability_365]]&lt;=120,"Low Availability",IF(airbnb_data3[[#This Row],[availability_365]]&lt;=240,"Medium Availability","High Availability"))</f>
        <v>Medium Availability</v>
      </c>
      <c r="R183" s="6" t="str">
        <f t="shared" si="5"/>
        <v>Medium</v>
      </c>
      <c r="S183" s="6" t="str">
        <f>IF(airbnb_data3[[#This Row],[minimum_nights]]&lt;=3,"Short Stay",IF(airbnb_data3[[#This Row],[minimum_nights]]&lt;=7,"Medium Stay","Long Stay"))</f>
        <v>Short Stay</v>
      </c>
    </row>
    <row r="184" spans="1:19" x14ac:dyDescent="0.35">
      <c r="A184" t="s">
        <v>310</v>
      </c>
      <c r="B184" t="s">
        <v>305</v>
      </c>
      <c r="C184" t="s">
        <v>47</v>
      </c>
      <c r="D184">
        <v>42.660029999999999</v>
      </c>
      <c r="E184">
        <v>-73.773200000000003</v>
      </c>
      <c r="F184" t="s">
        <v>31</v>
      </c>
      <c r="G184">
        <v>280</v>
      </c>
      <c r="H184">
        <v>1</v>
      </c>
      <c r="I184">
        <v>2</v>
      </c>
      <c r="J184" s="1">
        <v>46086</v>
      </c>
      <c r="K184">
        <v>0.19</v>
      </c>
      <c r="L184">
        <v>11</v>
      </c>
      <c r="M184">
        <v>184</v>
      </c>
      <c r="N184">
        <v>2</v>
      </c>
      <c r="O184" t="str">
        <f t="shared" si="4"/>
        <v>201-300</v>
      </c>
      <c r="P184" t="str">
        <f>IF(airbnb_data3[[#This Row],[price]]&lt;=100,"Budget",
IF(airbnb_data3[[#This Row],[price]]&lt;=200,"Mid-range",
IF(airbnb_data3[[#This Row],[price]]&lt;=300,"Premium","Luxury")))</f>
        <v>Premium</v>
      </c>
      <c r="Q184" t="str">
        <f>IF(airbnb_data3[[#This Row],[availability_365]]&lt;=120,"Low Availability",IF(airbnb_data3[[#This Row],[availability_365]]&lt;=240,"Medium Availability","High Availability"))</f>
        <v>Medium Availability</v>
      </c>
      <c r="R184" s="6" t="str">
        <f t="shared" si="5"/>
        <v>Medium</v>
      </c>
      <c r="S184" s="6" t="str">
        <f>IF(airbnb_data3[[#This Row],[minimum_nights]]&lt;=3,"Short Stay",IF(airbnb_data3[[#This Row],[minimum_nights]]&lt;=7,"Medium Stay","Long Stay"))</f>
        <v>Short Stay</v>
      </c>
    </row>
    <row r="185" spans="1:19" x14ac:dyDescent="0.35">
      <c r="A185" t="s">
        <v>311</v>
      </c>
      <c r="B185" t="s">
        <v>305</v>
      </c>
      <c r="C185" t="s">
        <v>25</v>
      </c>
      <c r="D185">
        <v>42.658569999999997</v>
      </c>
      <c r="E185">
        <v>-73.7744</v>
      </c>
      <c r="F185" t="s">
        <v>31</v>
      </c>
      <c r="G185">
        <v>241</v>
      </c>
      <c r="H185">
        <v>1</v>
      </c>
      <c r="I185">
        <v>0</v>
      </c>
      <c r="K185">
        <v>0</v>
      </c>
      <c r="L185">
        <v>11</v>
      </c>
      <c r="M185">
        <v>185</v>
      </c>
      <c r="N185">
        <v>0</v>
      </c>
      <c r="O185" t="str">
        <f t="shared" si="4"/>
        <v>201-300</v>
      </c>
      <c r="P185" t="str">
        <f>IF(airbnb_data3[[#This Row],[price]]&lt;=100,"Budget",
IF(airbnb_data3[[#This Row],[price]]&lt;=200,"Mid-range",
IF(airbnb_data3[[#This Row],[price]]&lt;=300,"Premium","Luxury")))</f>
        <v>Premium</v>
      </c>
      <c r="Q185" t="str">
        <f>IF(airbnb_data3[[#This Row],[availability_365]]&lt;=120,"Low Availability",IF(airbnb_data3[[#This Row],[availability_365]]&lt;=240,"Medium Availability","High Availability"))</f>
        <v>Medium Availability</v>
      </c>
      <c r="R185" s="6" t="str">
        <f t="shared" si="5"/>
        <v>Medium</v>
      </c>
      <c r="S185" s="6" t="str">
        <f>IF(airbnb_data3[[#This Row],[minimum_nights]]&lt;=3,"Short Stay",IF(airbnb_data3[[#This Row],[minimum_nights]]&lt;=7,"Medium Stay","Long Stay"))</f>
        <v>Short Stay</v>
      </c>
    </row>
    <row r="186" spans="1:19" x14ac:dyDescent="0.35">
      <c r="A186" t="s">
        <v>312</v>
      </c>
      <c r="B186" t="s">
        <v>305</v>
      </c>
      <c r="C186" t="s">
        <v>25</v>
      </c>
      <c r="D186">
        <v>42.658929999999998</v>
      </c>
      <c r="E186">
        <v>-73.774479999999997</v>
      </c>
      <c r="F186" t="s">
        <v>31</v>
      </c>
      <c r="G186">
        <v>241</v>
      </c>
      <c r="H186">
        <v>1</v>
      </c>
      <c r="I186">
        <v>0</v>
      </c>
      <c r="K186">
        <v>0</v>
      </c>
      <c r="L186">
        <v>11</v>
      </c>
      <c r="M186">
        <v>187</v>
      </c>
      <c r="N186">
        <v>0</v>
      </c>
      <c r="O186" t="str">
        <f t="shared" si="4"/>
        <v>201-300</v>
      </c>
      <c r="P186" t="str">
        <f>IF(airbnb_data3[[#This Row],[price]]&lt;=100,"Budget",
IF(airbnb_data3[[#This Row],[price]]&lt;=200,"Mid-range",
IF(airbnb_data3[[#This Row],[price]]&lt;=300,"Premium","Luxury")))</f>
        <v>Premium</v>
      </c>
      <c r="Q186" t="str">
        <f>IF(airbnb_data3[[#This Row],[availability_365]]&lt;=120,"Low Availability",IF(airbnb_data3[[#This Row],[availability_365]]&lt;=240,"Medium Availability","High Availability"))</f>
        <v>Medium Availability</v>
      </c>
      <c r="R186" s="6" t="str">
        <f t="shared" si="5"/>
        <v>Medium</v>
      </c>
      <c r="S186" s="6" t="str">
        <f>IF(airbnb_data3[[#This Row],[minimum_nights]]&lt;=3,"Short Stay",IF(airbnb_data3[[#This Row],[minimum_nights]]&lt;=7,"Medium Stay","Long Stay"))</f>
        <v>Short Stay</v>
      </c>
    </row>
    <row r="187" spans="1:19" x14ac:dyDescent="0.35">
      <c r="A187" t="s">
        <v>313</v>
      </c>
      <c r="B187" t="s">
        <v>305</v>
      </c>
      <c r="C187" t="s">
        <v>47</v>
      </c>
      <c r="D187">
        <v>42.66037</v>
      </c>
      <c r="E187">
        <v>-73.773269999999997</v>
      </c>
      <c r="F187" t="s">
        <v>31</v>
      </c>
      <c r="G187">
        <v>241</v>
      </c>
      <c r="H187">
        <v>1</v>
      </c>
      <c r="I187">
        <v>0</v>
      </c>
      <c r="K187">
        <v>0</v>
      </c>
      <c r="L187">
        <v>11</v>
      </c>
      <c r="M187">
        <v>190</v>
      </c>
      <c r="N187">
        <v>0</v>
      </c>
      <c r="O187" t="str">
        <f t="shared" si="4"/>
        <v>201-300</v>
      </c>
      <c r="P187" t="str">
        <f>IF(airbnb_data3[[#This Row],[price]]&lt;=100,"Budget",
IF(airbnb_data3[[#This Row],[price]]&lt;=200,"Mid-range",
IF(airbnb_data3[[#This Row],[price]]&lt;=300,"Premium","Luxury")))</f>
        <v>Premium</v>
      </c>
      <c r="Q187" t="str">
        <f>IF(airbnb_data3[[#This Row],[availability_365]]&lt;=120,"Low Availability",IF(airbnb_data3[[#This Row],[availability_365]]&lt;=240,"Medium Availability","High Availability"))</f>
        <v>Medium Availability</v>
      </c>
      <c r="R187" s="6" t="str">
        <f t="shared" si="5"/>
        <v>Medium</v>
      </c>
      <c r="S187" s="6" t="str">
        <f>IF(airbnb_data3[[#This Row],[minimum_nights]]&lt;=3,"Short Stay",IF(airbnb_data3[[#This Row],[minimum_nights]]&lt;=7,"Medium Stay","Long Stay"))</f>
        <v>Short Stay</v>
      </c>
    </row>
    <row r="188" spans="1:19" x14ac:dyDescent="0.35">
      <c r="A188" t="s">
        <v>314</v>
      </c>
      <c r="B188" t="s">
        <v>305</v>
      </c>
      <c r="C188" t="s">
        <v>25</v>
      </c>
      <c r="D188">
        <v>42.658679999999997</v>
      </c>
      <c r="E188">
        <v>-73.773330000000001</v>
      </c>
      <c r="F188" t="s">
        <v>31</v>
      </c>
      <c r="G188">
        <v>331</v>
      </c>
      <c r="H188">
        <v>1</v>
      </c>
      <c r="I188">
        <v>0</v>
      </c>
      <c r="K188">
        <v>0</v>
      </c>
      <c r="L188">
        <v>11</v>
      </c>
      <c r="M188">
        <v>187</v>
      </c>
      <c r="N188">
        <v>0</v>
      </c>
      <c r="O188" t="str">
        <f t="shared" si="4"/>
        <v>301-500</v>
      </c>
      <c r="P188" t="str">
        <f>IF(airbnb_data3[[#This Row],[price]]&lt;=100,"Budget",
IF(airbnb_data3[[#This Row],[price]]&lt;=200,"Mid-range",
IF(airbnb_data3[[#This Row],[price]]&lt;=300,"Premium","Luxury")))</f>
        <v>Luxury</v>
      </c>
      <c r="Q188" t="str">
        <f>IF(airbnb_data3[[#This Row],[availability_365]]&lt;=120,"Low Availability",IF(airbnb_data3[[#This Row],[availability_365]]&lt;=240,"Medium Availability","High Availability"))</f>
        <v>Medium Availability</v>
      </c>
      <c r="R188" s="6" t="str">
        <f t="shared" si="5"/>
        <v>Medium</v>
      </c>
      <c r="S188" s="6" t="str">
        <f>IF(airbnb_data3[[#This Row],[minimum_nights]]&lt;=3,"Short Stay",IF(airbnb_data3[[#This Row],[minimum_nights]]&lt;=7,"Medium Stay","Long Stay"))</f>
        <v>Short Stay</v>
      </c>
    </row>
    <row r="189" spans="1:19" x14ac:dyDescent="0.35">
      <c r="A189" t="s">
        <v>315</v>
      </c>
      <c r="B189" t="s">
        <v>305</v>
      </c>
      <c r="C189" t="s">
        <v>47</v>
      </c>
      <c r="D189">
        <v>42.660359999999997</v>
      </c>
      <c r="E189">
        <v>-73.772900000000007</v>
      </c>
      <c r="F189" t="s">
        <v>22</v>
      </c>
      <c r="G189">
        <v>431</v>
      </c>
      <c r="H189">
        <v>1</v>
      </c>
      <c r="I189">
        <v>19</v>
      </c>
      <c r="J189" s="1">
        <v>46075</v>
      </c>
      <c r="K189">
        <v>0.55000000000000004</v>
      </c>
      <c r="L189">
        <v>11</v>
      </c>
      <c r="M189">
        <v>181</v>
      </c>
      <c r="N189">
        <v>3</v>
      </c>
      <c r="O189" t="str">
        <f t="shared" si="4"/>
        <v>301-500</v>
      </c>
      <c r="P189" t="str">
        <f>IF(airbnb_data3[[#This Row],[price]]&lt;=100,"Budget",
IF(airbnb_data3[[#This Row],[price]]&lt;=200,"Mid-range",
IF(airbnb_data3[[#This Row],[price]]&lt;=300,"Premium","Luxury")))</f>
        <v>Luxury</v>
      </c>
      <c r="Q189" t="str">
        <f>IF(airbnb_data3[[#This Row],[availability_365]]&lt;=120,"Low Availability",IF(airbnb_data3[[#This Row],[availability_365]]&lt;=240,"Medium Availability","High Availability"))</f>
        <v>Medium Availability</v>
      </c>
      <c r="R189" s="6" t="str">
        <f t="shared" si="5"/>
        <v>Medium</v>
      </c>
      <c r="S189" s="6" t="str">
        <f>IF(airbnb_data3[[#This Row],[minimum_nights]]&lt;=3,"Short Stay",IF(airbnb_data3[[#This Row],[minimum_nights]]&lt;=7,"Medium Stay","Long Stay"))</f>
        <v>Short Stay</v>
      </c>
    </row>
    <row r="190" spans="1:19" x14ac:dyDescent="0.35">
      <c r="A190" t="s">
        <v>316</v>
      </c>
      <c r="B190" t="s">
        <v>254</v>
      </c>
      <c r="C190" t="s">
        <v>40</v>
      </c>
      <c r="D190">
        <v>42.670836700000002</v>
      </c>
      <c r="E190">
        <v>-73.7853116</v>
      </c>
      <c r="F190" t="s">
        <v>31</v>
      </c>
      <c r="G190">
        <v>76</v>
      </c>
      <c r="H190">
        <v>5</v>
      </c>
      <c r="I190">
        <v>27</v>
      </c>
      <c r="J190" s="1">
        <v>45915</v>
      </c>
      <c r="K190">
        <v>0.77</v>
      </c>
      <c r="L190">
        <v>5</v>
      </c>
      <c r="M190">
        <v>334</v>
      </c>
      <c r="N190">
        <v>1</v>
      </c>
      <c r="O190" t="str">
        <f t="shared" si="4"/>
        <v>0-100</v>
      </c>
      <c r="P190" t="str">
        <f>IF(airbnb_data3[[#This Row],[price]]&lt;=100,"Budget",
IF(airbnb_data3[[#This Row],[price]]&lt;=200,"Mid-range",
IF(airbnb_data3[[#This Row],[price]]&lt;=300,"Premium","Luxury")))</f>
        <v>Budget</v>
      </c>
      <c r="Q190" t="str">
        <f>IF(airbnb_data3[[#This Row],[availability_365]]&lt;=120,"Low Availability",IF(airbnb_data3[[#This Row],[availability_365]]&lt;=240,"Medium Availability","High Availability"))</f>
        <v>High Availability</v>
      </c>
      <c r="R190" s="6" t="str">
        <f t="shared" si="5"/>
        <v>Medium</v>
      </c>
      <c r="S190" s="6" t="str">
        <f>IF(airbnb_data3[[#This Row],[minimum_nights]]&lt;=3,"Short Stay",IF(airbnb_data3[[#This Row],[minimum_nights]]&lt;=7,"Medium Stay","Long Stay"))</f>
        <v>Medium Stay</v>
      </c>
    </row>
    <row r="191" spans="1:19" x14ac:dyDescent="0.35">
      <c r="A191" t="s">
        <v>317</v>
      </c>
      <c r="B191" t="s">
        <v>254</v>
      </c>
      <c r="C191" t="s">
        <v>68</v>
      </c>
      <c r="D191">
        <v>42.669739999999997</v>
      </c>
      <c r="E191">
        <v>-73.786109999999994</v>
      </c>
      <c r="F191" t="s">
        <v>31</v>
      </c>
      <c r="G191">
        <v>61</v>
      </c>
      <c r="H191">
        <v>5</v>
      </c>
      <c r="I191">
        <v>49</v>
      </c>
      <c r="J191" s="1">
        <v>46132</v>
      </c>
      <c r="K191">
        <v>1.39</v>
      </c>
      <c r="L191">
        <v>5</v>
      </c>
      <c r="M191">
        <v>334</v>
      </c>
      <c r="N191">
        <v>13</v>
      </c>
      <c r="O191" t="str">
        <f t="shared" si="4"/>
        <v>0-100</v>
      </c>
      <c r="P191" t="str">
        <f>IF(airbnb_data3[[#This Row],[price]]&lt;=100,"Budget",
IF(airbnb_data3[[#This Row],[price]]&lt;=200,"Mid-range",
IF(airbnb_data3[[#This Row],[price]]&lt;=300,"Premium","Luxury")))</f>
        <v>Budget</v>
      </c>
      <c r="Q191" t="str">
        <f>IF(airbnb_data3[[#This Row],[availability_365]]&lt;=120,"Low Availability",IF(airbnb_data3[[#This Row],[availability_365]]&lt;=240,"Medium Availability","High Availability"))</f>
        <v>High Availability</v>
      </c>
      <c r="R191" s="6" t="str">
        <f t="shared" si="5"/>
        <v>High</v>
      </c>
      <c r="S191" s="6" t="str">
        <f>IF(airbnb_data3[[#This Row],[minimum_nights]]&lt;=3,"Short Stay",IF(airbnb_data3[[#This Row],[minimum_nights]]&lt;=7,"Medium Stay","Long Stay"))</f>
        <v>Medium Stay</v>
      </c>
    </row>
    <row r="192" spans="1:19" x14ac:dyDescent="0.35">
      <c r="A192" t="s">
        <v>318</v>
      </c>
      <c r="B192" t="s">
        <v>254</v>
      </c>
      <c r="C192" t="s">
        <v>40</v>
      </c>
      <c r="D192">
        <v>42.670340000000003</v>
      </c>
      <c r="E192">
        <v>-73.7851</v>
      </c>
      <c r="F192" t="s">
        <v>31</v>
      </c>
      <c r="G192">
        <v>72</v>
      </c>
      <c r="H192">
        <v>5</v>
      </c>
      <c r="I192">
        <v>23</v>
      </c>
      <c r="J192" s="1">
        <v>46179</v>
      </c>
      <c r="K192">
        <v>0.78</v>
      </c>
      <c r="L192">
        <v>5</v>
      </c>
      <c r="M192">
        <v>345</v>
      </c>
      <c r="N192">
        <v>4</v>
      </c>
      <c r="O192" t="str">
        <f t="shared" si="4"/>
        <v>0-100</v>
      </c>
      <c r="P192" t="str">
        <f>IF(airbnb_data3[[#This Row],[price]]&lt;=100,"Budget",
IF(airbnb_data3[[#This Row],[price]]&lt;=200,"Mid-range",
IF(airbnb_data3[[#This Row],[price]]&lt;=300,"Premium","Luxury")))</f>
        <v>Budget</v>
      </c>
      <c r="Q192" t="str">
        <f>IF(airbnb_data3[[#This Row],[availability_365]]&lt;=120,"Low Availability",IF(airbnb_data3[[#This Row],[availability_365]]&lt;=240,"Medium Availability","High Availability"))</f>
        <v>High Availability</v>
      </c>
      <c r="R192" s="6" t="str">
        <f t="shared" si="5"/>
        <v>High</v>
      </c>
      <c r="S192" s="6" t="str">
        <f>IF(airbnb_data3[[#This Row],[minimum_nights]]&lt;=3,"Short Stay",IF(airbnb_data3[[#This Row],[minimum_nights]]&lt;=7,"Medium Stay","Long Stay"))</f>
        <v>Medium Stay</v>
      </c>
    </row>
    <row r="193" spans="1:19" x14ac:dyDescent="0.35">
      <c r="A193" t="s">
        <v>319</v>
      </c>
      <c r="B193" t="s">
        <v>166</v>
      </c>
      <c r="C193" t="s">
        <v>25</v>
      </c>
      <c r="D193">
        <v>42.6541815</v>
      </c>
      <c r="E193">
        <v>-73.760860499999893</v>
      </c>
      <c r="F193" t="s">
        <v>22</v>
      </c>
      <c r="G193">
        <v>287</v>
      </c>
      <c r="H193">
        <v>1</v>
      </c>
      <c r="I193">
        <v>259</v>
      </c>
      <c r="J193" s="1">
        <v>46180</v>
      </c>
      <c r="K193">
        <v>7.52</v>
      </c>
      <c r="L193">
        <v>2</v>
      </c>
      <c r="M193">
        <v>313</v>
      </c>
      <c r="N193">
        <v>84</v>
      </c>
      <c r="O193" t="str">
        <f t="shared" si="4"/>
        <v>201-300</v>
      </c>
      <c r="P193" t="str">
        <f>IF(airbnb_data3[[#This Row],[price]]&lt;=100,"Budget",
IF(airbnb_data3[[#This Row],[price]]&lt;=200,"Mid-range",
IF(airbnb_data3[[#This Row],[price]]&lt;=300,"Premium","Luxury")))</f>
        <v>Premium</v>
      </c>
      <c r="Q193" t="str">
        <f>IF(airbnb_data3[[#This Row],[availability_365]]&lt;=120,"Low Availability",IF(airbnb_data3[[#This Row],[availability_365]]&lt;=240,"Medium Availability","High Availability"))</f>
        <v>High Availability</v>
      </c>
      <c r="R193" s="6" t="str">
        <f t="shared" si="5"/>
        <v>Medium</v>
      </c>
      <c r="S193" s="6" t="str">
        <f>IF(airbnb_data3[[#This Row],[minimum_nights]]&lt;=3,"Short Stay",IF(airbnb_data3[[#This Row],[minimum_nights]]&lt;=7,"Medium Stay","Long Stay"))</f>
        <v>Short Stay</v>
      </c>
    </row>
    <row r="194" spans="1:19" x14ac:dyDescent="0.35">
      <c r="A194" t="s">
        <v>322</v>
      </c>
      <c r="B194" t="s">
        <v>323</v>
      </c>
      <c r="C194" t="s">
        <v>25</v>
      </c>
      <c r="D194">
        <v>42.652410000000003</v>
      </c>
      <c r="E194">
        <v>-73.770020000000002</v>
      </c>
      <c r="F194" t="s">
        <v>22</v>
      </c>
      <c r="G194">
        <v>184</v>
      </c>
      <c r="H194">
        <v>1</v>
      </c>
      <c r="I194">
        <v>139</v>
      </c>
      <c r="J194" s="1">
        <v>46170</v>
      </c>
      <c r="K194">
        <v>4.08</v>
      </c>
      <c r="L194">
        <v>1</v>
      </c>
      <c r="M194">
        <v>335</v>
      </c>
      <c r="N194">
        <v>38</v>
      </c>
      <c r="O194" t="str">
        <f t="shared" ref="O194:O257" si="6">IF(G194&lt;=100,"0-100",
IF(G194&lt;=200,"101-200",
IF(G194&lt;=300,"201-300",
IF(G194&lt;=500,"301-500","500+"))))</f>
        <v>101-200</v>
      </c>
      <c r="P194" t="str">
        <f>IF(airbnb_data3[[#This Row],[price]]&lt;=100,"Budget",
IF(airbnb_data3[[#This Row],[price]]&lt;=200,"Mid-range",
IF(airbnb_data3[[#This Row],[price]]&lt;=300,"Premium","Luxury")))</f>
        <v>Mid-range</v>
      </c>
      <c r="Q194" t="str">
        <f>IF(airbnb_data3[[#This Row],[availability_365]]&lt;=120,"Low Availability",IF(airbnb_data3[[#This Row],[availability_365]]&lt;=240,"Medium Availability","High Availability"))</f>
        <v>High Availability</v>
      </c>
      <c r="R194" s="6" t="str">
        <f t="shared" ref="R194:R257" si="7">IF(R195&lt;=25,"Low",IF(I196&lt;=100,"Medium","High"))</f>
        <v>High</v>
      </c>
      <c r="S194" s="6" t="str">
        <f>IF(airbnb_data3[[#This Row],[minimum_nights]]&lt;=3,"Short Stay",IF(airbnb_data3[[#This Row],[minimum_nights]]&lt;=7,"Medium Stay","Long Stay"))</f>
        <v>Short Stay</v>
      </c>
    </row>
    <row r="195" spans="1:19" x14ac:dyDescent="0.35">
      <c r="A195" t="s">
        <v>326</v>
      </c>
      <c r="B195" t="s">
        <v>327</v>
      </c>
      <c r="C195" t="s">
        <v>37</v>
      </c>
      <c r="D195">
        <v>42.670589999999997</v>
      </c>
      <c r="E195">
        <v>-73.816779999999994</v>
      </c>
      <c r="F195" t="s">
        <v>22</v>
      </c>
      <c r="G195">
        <v>160</v>
      </c>
      <c r="H195">
        <v>3</v>
      </c>
      <c r="I195">
        <v>28</v>
      </c>
      <c r="J195" s="1">
        <v>46008</v>
      </c>
      <c r="K195">
        <v>0.84</v>
      </c>
      <c r="L195">
        <v>1</v>
      </c>
      <c r="M195">
        <v>164</v>
      </c>
      <c r="N195">
        <v>7</v>
      </c>
      <c r="O195" t="str">
        <f t="shared" si="6"/>
        <v>101-200</v>
      </c>
      <c r="P195" t="str">
        <f>IF(airbnb_data3[[#This Row],[price]]&lt;=100,"Budget",
IF(airbnb_data3[[#This Row],[price]]&lt;=200,"Mid-range",
IF(airbnb_data3[[#This Row],[price]]&lt;=300,"Premium","Luxury")))</f>
        <v>Mid-range</v>
      </c>
      <c r="Q195" t="str">
        <f>IF(airbnb_data3[[#This Row],[availability_365]]&lt;=120,"Low Availability",IF(airbnb_data3[[#This Row],[availability_365]]&lt;=240,"Medium Availability","High Availability"))</f>
        <v>Medium Availability</v>
      </c>
      <c r="R195" s="6" t="str">
        <f t="shared" si="7"/>
        <v>Medium</v>
      </c>
      <c r="S195" s="6" t="str">
        <f>IF(airbnb_data3[[#This Row],[minimum_nights]]&lt;=3,"Short Stay",IF(airbnb_data3[[#This Row],[minimum_nights]]&lt;=7,"Medium Stay","Long Stay"))</f>
        <v>Short Stay</v>
      </c>
    </row>
    <row r="196" spans="1:19" x14ac:dyDescent="0.35">
      <c r="A196" t="s">
        <v>328</v>
      </c>
      <c r="B196" t="s">
        <v>141</v>
      </c>
      <c r="C196" t="s">
        <v>34</v>
      </c>
      <c r="D196">
        <v>42.668770000000002</v>
      </c>
      <c r="E196">
        <v>-73.799270000000007</v>
      </c>
      <c r="F196" t="s">
        <v>31</v>
      </c>
      <c r="G196">
        <v>90</v>
      </c>
      <c r="H196">
        <v>1</v>
      </c>
      <c r="I196">
        <v>165</v>
      </c>
      <c r="J196" s="1">
        <v>46174</v>
      </c>
      <c r="K196">
        <v>5.16</v>
      </c>
      <c r="L196">
        <v>12</v>
      </c>
      <c r="M196">
        <v>14</v>
      </c>
      <c r="N196">
        <v>37</v>
      </c>
      <c r="O196" t="str">
        <f t="shared" si="6"/>
        <v>0-100</v>
      </c>
      <c r="P196" t="str">
        <f>IF(airbnb_data3[[#This Row],[price]]&lt;=100,"Budget",
IF(airbnb_data3[[#This Row],[price]]&lt;=200,"Mid-range",
IF(airbnb_data3[[#This Row],[price]]&lt;=300,"Premium","Luxury")))</f>
        <v>Budget</v>
      </c>
      <c r="Q196" t="str">
        <f>IF(airbnb_data3[[#This Row],[availability_365]]&lt;=120,"Low Availability",IF(airbnb_data3[[#This Row],[availability_365]]&lt;=240,"Medium Availability","High Availability"))</f>
        <v>Low Availability</v>
      </c>
      <c r="R196" s="6" t="str">
        <f t="shared" si="7"/>
        <v>Medium</v>
      </c>
      <c r="S196" s="6" t="str">
        <f>IF(airbnb_data3[[#This Row],[minimum_nights]]&lt;=3,"Short Stay",IF(airbnb_data3[[#This Row],[minimum_nights]]&lt;=7,"Medium Stay","Long Stay"))</f>
        <v>Short Stay</v>
      </c>
    </row>
    <row r="197" spans="1:19" x14ac:dyDescent="0.35">
      <c r="A197" t="s">
        <v>329</v>
      </c>
      <c r="B197" t="s">
        <v>330</v>
      </c>
      <c r="C197" t="s">
        <v>25</v>
      </c>
      <c r="D197">
        <v>42.653127750013901</v>
      </c>
      <c r="E197">
        <v>-73.769504651427198</v>
      </c>
      <c r="F197" t="s">
        <v>22</v>
      </c>
      <c r="G197">
        <v>177</v>
      </c>
      <c r="H197">
        <v>1</v>
      </c>
      <c r="I197">
        <v>42</v>
      </c>
      <c r="J197" s="1">
        <v>46178</v>
      </c>
      <c r="K197">
        <v>1.29</v>
      </c>
      <c r="L197">
        <v>1</v>
      </c>
      <c r="M197">
        <v>295</v>
      </c>
      <c r="N197">
        <v>17</v>
      </c>
      <c r="O197" t="str">
        <f t="shared" si="6"/>
        <v>101-200</v>
      </c>
      <c r="P197" t="str">
        <f>IF(airbnb_data3[[#This Row],[price]]&lt;=100,"Budget",
IF(airbnb_data3[[#This Row],[price]]&lt;=200,"Mid-range",
IF(airbnb_data3[[#This Row],[price]]&lt;=300,"Premium","Luxury")))</f>
        <v>Mid-range</v>
      </c>
      <c r="Q197" t="str">
        <f>IF(airbnb_data3[[#This Row],[availability_365]]&lt;=120,"Low Availability",IF(airbnb_data3[[#This Row],[availability_365]]&lt;=240,"Medium Availability","High Availability"))</f>
        <v>High Availability</v>
      </c>
      <c r="R197" s="6" t="str">
        <f t="shared" si="7"/>
        <v>Medium</v>
      </c>
      <c r="S197" s="6" t="str">
        <f>IF(airbnb_data3[[#This Row],[minimum_nights]]&lt;=3,"Short Stay",IF(airbnb_data3[[#This Row],[minimum_nights]]&lt;=7,"Medium Stay","Long Stay"))</f>
        <v>Short Stay</v>
      </c>
    </row>
    <row r="198" spans="1:19" x14ac:dyDescent="0.35">
      <c r="A198" t="s">
        <v>331</v>
      </c>
      <c r="B198" t="s">
        <v>332</v>
      </c>
      <c r="C198" t="s">
        <v>54</v>
      </c>
      <c r="D198">
        <v>42.66628</v>
      </c>
      <c r="E198">
        <v>-73.765119999999996</v>
      </c>
      <c r="F198" t="s">
        <v>22</v>
      </c>
      <c r="G198">
        <v>209</v>
      </c>
      <c r="H198">
        <v>2</v>
      </c>
      <c r="I198">
        <v>7</v>
      </c>
      <c r="J198" s="1">
        <v>45963</v>
      </c>
      <c r="K198">
        <v>0.22</v>
      </c>
      <c r="L198">
        <v>1</v>
      </c>
      <c r="M198">
        <v>107</v>
      </c>
      <c r="N198">
        <v>2</v>
      </c>
      <c r="O198" t="str">
        <f t="shared" si="6"/>
        <v>201-300</v>
      </c>
      <c r="P198" t="str">
        <f>IF(airbnb_data3[[#This Row],[price]]&lt;=100,"Budget",
IF(airbnb_data3[[#This Row],[price]]&lt;=200,"Mid-range",
IF(airbnb_data3[[#This Row],[price]]&lt;=300,"Premium","Luxury")))</f>
        <v>Premium</v>
      </c>
      <c r="Q198" t="str">
        <f>IF(airbnb_data3[[#This Row],[availability_365]]&lt;=120,"Low Availability",IF(airbnb_data3[[#This Row],[availability_365]]&lt;=240,"Medium Availability","High Availability"))</f>
        <v>Low Availability</v>
      </c>
      <c r="R198" s="6" t="str">
        <f t="shared" si="7"/>
        <v>Medium</v>
      </c>
      <c r="S198" s="6" t="str">
        <f>IF(airbnb_data3[[#This Row],[minimum_nights]]&lt;=3,"Short Stay",IF(airbnb_data3[[#This Row],[minimum_nights]]&lt;=7,"Medium Stay","Long Stay"))</f>
        <v>Short Stay</v>
      </c>
    </row>
    <row r="199" spans="1:19" x14ac:dyDescent="0.35">
      <c r="A199" t="s">
        <v>333</v>
      </c>
      <c r="B199" t="s">
        <v>334</v>
      </c>
      <c r="C199" t="s">
        <v>21</v>
      </c>
      <c r="D199">
        <v>42.655155158516301</v>
      </c>
      <c r="E199">
        <v>-73.760525826474293</v>
      </c>
      <c r="F199" t="s">
        <v>22</v>
      </c>
      <c r="G199">
        <v>109</v>
      </c>
      <c r="H199">
        <v>30</v>
      </c>
      <c r="I199">
        <v>10</v>
      </c>
      <c r="J199" s="1">
        <v>46054</v>
      </c>
      <c r="K199">
        <v>0.3</v>
      </c>
      <c r="L199">
        <v>1</v>
      </c>
      <c r="M199">
        <v>218</v>
      </c>
      <c r="N199">
        <v>3</v>
      </c>
      <c r="O199" t="str">
        <f t="shared" si="6"/>
        <v>101-200</v>
      </c>
      <c r="P199" t="str">
        <f>IF(airbnb_data3[[#This Row],[price]]&lt;=100,"Budget",
IF(airbnb_data3[[#This Row],[price]]&lt;=200,"Mid-range",
IF(airbnb_data3[[#This Row],[price]]&lt;=300,"Premium","Luxury")))</f>
        <v>Mid-range</v>
      </c>
      <c r="Q199" t="str">
        <f>IF(airbnb_data3[[#This Row],[availability_365]]&lt;=120,"Low Availability",IF(airbnb_data3[[#This Row],[availability_365]]&lt;=240,"Medium Availability","High Availability"))</f>
        <v>Medium Availability</v>
      </c>
      <c r="R199" s="6" t="str">
        <f t="shared" si="7"/>
        <v>Medium</v>
      </c>
      <c r="S199" s="6" t="str">
        <f>IF(airbnb_data3[[#This Row],[minimum_nights]]&lt;=3,"Short Stay",IF(airbnb_data3[[#This Row],[minimum_nights]]&lt;=7,"Medium Stay","Long Stay"))</f>
        <v>Long Stay</v>
      </c>
    </row>
    <row r="200" spans="1:19" x14ac:dyDescent="0.35">
      <c r="A200" t="s">
        <v>335</v>
      </c>
      <c r="B200" t="s">
        <v>297</v>
      </c>
      <c r="C200" t="s">
        <v>25</v>
      </c>
      <c r="D200">
        <v>42.652599240074899</v>
      </c>
      <c r="E200">
        <v>-73.761780139996006</v>
      </c>
      <c r="F200" t="s">
        <v>22</v>
      </c>
      <c r="G200">
        <v>144</v>
      </c>
      <c r="H200">
        <v>1</v>
      </c>
      <c r="I200">
        <v>43</v>
      </c>
      <c r="J200" s="1">
        <v>46155</v>
      </c>
      <c r="K200">
        <v>1.47</v>
      </c>
      <c r="L200">
        <v>1</v>
      </c>
      <c r="M200">
        <v>69</v>
      </c>
      <c r="N200">
        <v>24</v>
      </c>
      <c r="O200" t="str">
        <f t="shared" si="6"/>
        <v>101-200</v>
      </c>
      <c r="P200" t="str">
        <f>IF(airbnb_data3[[#This Row],[price]]&lt;=100,"Budget",
IF(airbnb_data3[[#This Row],[price]]&lt;=200,"Mid-range",
IF(airbnb_data3[[#This Row],[price]]&lt;=300,"Premium","Luxury")))</f>
        <v>Mid-range</v>
      </c>
      <c r="Q200" t="str">
        <f>IF(airbnb_data3[[#This Row],[availability_365]]&lt;=120,"Low Availability",IF(airbnb_data3[[#This Row],[availability_365]]&lt;=240,"Medium Availability","High Availability"))</f>
        <v>Low Availability</v>
      </c>
      <c r="R200" s="6" t="str">
        <f t="shared" si="7"/>
        <v>Medium</v>
      </c>
      <c r="S200" s="6" t="str">
        <f>IF(airbnb_data3[[#This Row],[minimum_nights]]&lt;=3,"Short Stay",IF(airbnb_data3[[#This Row],[minimum_nights]]&lt;=7,"Medium Stay","Long Stay"))</f>
        <v>Short Stay</v>
      </c>
    </row>
    <row r="201" spans="1:19" x14ac:dyDescent="0.35">
      <c r="A201" t="s">
        <v>336</v>
      </c>
      <c r="B201" t="s">
        <v>72</v>
      </c>
      <c r="C201" t="s">
        <v>34</v>
      </c>
      <c r="D201">
        <v>42.67098</v>
      </c>
      <c r="E201">
        <v>-73.806950000000001</v>
      </c>
      <c r="F201" t="s">
        <v>22</v>
      </c>
      <c r="G201">
        <v>177</v>
      </c>
      <c r="H201">
        <v>3</v>
      </c>
      <c r="I201">
        <v>37</v>
      </c>
      <c r="J201" s="1">
        <v>46166</v>
      </c>
      <c r="K201">
        <v>1.1299999999999999</v>
      </c>
      <c r="L201">
        <v>9</v>
      </c>
      <c r="M201">
        <v>264</v>
      </c>
      <c r="N201">
        <v>19</v>
      </c>
      <c r="O201" t="str">
        <f t="shared" si="6"/>
        <v>101-200</v>
      </c>
      <c r="P201" t="str">
        <f>IF(airbnb_data3[[#This Row],[price]]&lt;=100,"Budget",
IF(airbnb_data3[[#This Row],[price]]&lt;=200,"Mid-range",
IF(airbnb_data3[[#This Row],[price]]&lt;=300,"Premium","Luxury")))</f>
        <v>Mid-range</v>
      </c>
      <c r="Q201" t="str">
        <f>IF(airbnb_data3[[#This Row],[availability_365]]&lt;=120,"Low Availability",IF(airbnb_data3[[#This Row],[availability_365]]&lt;=240,"Medium Availability","High Availability"))</f>
        <v>High Availability</v>
      </c>
      <c r="R201" s="6" t="str">
        <f t="shared" si="7"/>
        <v>Medium</v>
      </c>
      <c r="S201" s="6" t="str">
        <f>IF(airbnb_data3[[#This Row],[minimum_nights]]&lt;=3,"Short Stay",IF(airbnb_data3[[#This Row],[minimum_nights]]&lt;=7,"Medium Stay","Long Stay"))</f>
        <v>Short Stay</v>
      </c>
    </row>
    <row r="202" spans="1:19" x14ac:dyDescent="0.35">
      <c r="A202" t="s">
        <v>337</v>
      </c>
      <c r="B202" t="s">
        <v>213</v>
      </c>
      <c r="C202" t="s">
        <v>64</v>
      </c>
      <c r="D202">
        <v>42.644856870964603</v>
      </c>
      <c r="E202">
        <v>-73.772818811696197</v>
      </c>
      <c r="F202" t="s">
        <v>22</v>
      </c>
      <c r="G202">
        <v>625</v>
      </c>
      <c r="H202">
        <v>2</v>
      </c>
      <c r="I202">
        <v>24</v>
      </c>
      <c r="J202" s="1">
        <v>46185</v>
      </c>
      <c r="K202">
        <v>0.84</v>
      </c>
      <c r="L202">
        <v>3</v>
      </c>
      <c r="M202">
        <v>127</v>
      </c>
      <c r="N202">
        <v>14</v>
      </c>
      <c r="O202" t="str">
        <f t="shared" si="6"/>
        <v>500+</v>
      </c>
      <c r="P202" t="str">
        <f>IF(airbnb_data3[[#This Row],[price]]&lt;=100,"Budget",
IF(airbnb_data3[[#This Row],[price]]&lt;=200,"Mid-range",
IF(airbnb_data3[[#This Row],[price]]&lt;=300,"Premium","Luxury")))</f>
        <v>Luxury</v>
      </c>
      <c r="Q202" t="str">
        <f>IF(airbnb_data3[[#This Row],[availability_365]]&lt;=120,"Low Availability",IF(airbnb_data3[[#This Row],[availability_365]]&lt;=240,"Medium Availability","High Availability"))</f>
        <v>Medium Availability</v>
      </c>
      <c r="R202" s="6" t="str">
        <f t="shared" si="7"/>
        <v>Medium</v>
      </c>
      <c r="S202" s="6" t="str">
        <f>IF(airbnb_data3[[#This Row],[minimum_nights]]&lt;=3,"Short Stay",IF(airbnb_data3[[#This Row],[minimum_nights]]&lt;=7,"Medium Stay","Long Stay"))</f>
        <v>Short Stay</v>
      </c>
    </row>
    <row r="203" spans="1:19" x14ac:dyDescent="0.35">
      <c r="A203" t="s">
        <v>340</v>
      </c>
      <c r="B203" t="s">
        <v>341</v>
      </c>
      <c r="C203" t="s">
        <v>21</v>
      </c>
      <c r="D203">
        <v>42.657620000000001</v>
      </c>
      <c r="E203">
        <v>-73.751159999999999</v>
      </c>
      <c r="F203" t="s">
        <v>22</v>
      </c>
      <c r="G203">
        <v>161</v>
      </c>
      <c r="H203">
        <v>1</v>
      </c>
      <c r="I203">
        <v>59</v>
      </c>
      <c r="J203" s="1">
        <v>46158</v>
      </c>
      <c r="K203">
        <v>1.82</v>
      </c>
      <c r="L203">
        <v>2</v>
      </c>
      <c r="M203">
        <v>253</v>
      </c>
      <c r="N203">
        <v>24</v>
      </c>
      <c r="O203" t="str">
        <f t="shared" si="6"/>
        <v>101-200</v>
      </c>
      <c r="P203" t="str">
        <f>IF(airbnb_data3[[#This Row],[price]]&lt;=100,"Budget",
IF(airbnb_data3[[#This Row],[price]]&lt;=200,"Mid-range",
IF(airbnb_data3[[#This Row],[price]]&lt;=300,"Premium","Luxury")))</f>
        <v>Mid-range</v>
      </c>
      <c r="Q203" t="str">
        <f>IF(airbnb_data3[[#This Row],[availability_365]]&lt;=120,"Low Availability",IF(airbnb_data3[[#This Row],[availability_365]]&lt;=240,"Medium Availability","High Availability"))</f>
        <v>High Availability</v>
      </c>
      <c r="R203" s="6" t="str">
        <f t="shared" si="7"/>
        <v>High</v>
      </c>
      <c r="S203" s="6" t="str">
        <f>IF(airbnb_data3[[#This Row],[minimum_nights]]&lt;=3,"Short Stay",IF(airbnb_data3[[#This Row],[minimum_nights]]&lt;=7,"Medium Stay","Long Stay"))</f>
        <v>Short Stay</v>
      </c>
    </row>
    <row r="204" spans="1:19" x14ac:dyDescent="0.35">
      <c r="A204" t="s">
        <v>342</v>
      </c>
      <c r="B204" t="s">
        <v>343</v>
      </c>
      <c r="C204" t="s">
        <v>84</v>
      </c>
      <c r="D204">
        <v>42.655500000000004</v>
      </c>
      <c r="E204">
        <v>-73.810659999999999</v>
      </c>
      <c r="F204" t="s">
        <v>22</v>
      </c>
      <c r="G204">
        <v>258</v>
      </c>
      <c r="H204">
        <v>2</v>
      </c>
      <c r="I204">
        <v>97</v>
      </c>
      <c r="J204" s="1">
        <v>46173</v>
      </c>
      <c r="K204">
        <v>3.42</v>
      </c>
      <c r="L204">
        <v>1</v>
      </c>
      <c r="M204">
        <v>215</v>
      </c>
      <c r="N204">
        <v>41</v>
      </c>
      <c r="O204" t="str">
        <f t="shared" si="6"/>
        <v>201-300</v>
      </c>
      <c r="P204" t="str">
        <f>IF(airbnb_data3[[#This Row],[price]]&lt;=100,"Budget",
IF(airbnb_data3[[#This Row],[price]]&lt;=200,"Mid-range",
IF(airbnb_data3[[#This Row],[price]]&lt;=300,"Premium","Luxury")))</f>
        <v>Premium</v>
      </c>
      <c r="Q204" t="str">
        <f>IF(airbnb_data3[[#This Row],[availability_365]]&lt;=120,"Low Availability",IF(airbnb_data3[[#This Row],[availability_365]]&lt;=240,"Medium Availability","High Availability"))</f>
        <v>Medium Availability</v>
      </c>
      <c r="R204" s="6" t="str">
        <f t="shared" si="7"/>
        <v>Medium</v>
      </c>
      <c r="S204" s="6" t="str">
        <f>IF(airbnb_data3[[#This Row],[minimum_nights]]&lt;=3,"Short Stay",IF(airbnb_data3[[#This Row],[minimum_nights]]&lt;=7,"Medium Stay","Long Stay"))</f>
        <v>Short Stay</v>
      </c>
    </row>
    <row r="205" spans="1:19" x14ac:dyDescent="0.35">
      <c r="A205" t="s">
        <v>344</v>
      </c>
      <c r="B205" t="s">
        <v>87</v>
      </c>
      <c r="C205" t="s">
        <v>28</v>
      </c>
      <c r="D205">
        <v>42.645348899999902</v>
      </c>
      <c r="E205">
        <v>-73.753646500000002</v>
      </c>
      <c r="F205" t="s">
        <v>22</v>
      </c>
      <c r="G205">
        <v>355</v>
      </c>
      <c r="H205">
        <v>1</v>
      </c>
      <c r="I205">
        <v>106</v>
      </c>
      <c r="J205" s="1">
        <v>46155</v>
      </c>
      <c r="K205">
        <v>3.31</v>
      </c>
      <c r="L205">
        <v>11</v>
      </c>
      <c r="M205">
        <v>352</v>
      </c>
      <c r="N205">
        <v>39</v>
      </c>
      <c r="O205" t="str">
        <f t="shared" si="6"/>
        <v>301-500</v>
      </c>
      <c r="P205" t="str">
        <f>IF(airbnb_data3[[#This Row],[price]]&lt;=100,"Budget",
IF(airbnb_data3[[#This Row],[price]]&lt;=200,"Mid-range",
IF(airbnb_data3[[#This Row],[price]]&lt;=300,"Premium","Luxury")))</f>
        <v>Luxury</v>
      </c>
      <c r="Q205" t="str">
        <f>IF(airbnb_data3[[#This Row],[availability_365]]&lt;=120,"Low Availability",IF(airbnb_data3[[#This Row],[availability_365]]&lt;=240,"Medium Availability","High Availability"))</f>
        <v>High Availability</v>
      </c>
      <c r="R205" s="6" t="str">
        <f t="shared" si="7"/>
        <v>High</v>
      </c>
      <c r="S205" s="6" t="str">
        <f>IF(airbnb_data3[[#This Row],[minimum_nights]]&lt;=3,"Short Stay",IF(airbnb_data3[[#This Row],[minimum_nights]]&lt;=7,"Medium Stay","Long Stay"))</f>
        <v>Short Stay</v>
      </c>
    </row>
    <row r="206" spans="1:19" x14ac:dyDescent="0.35">
      <c r="A206" t="s">
        <v>346</v>
      </c>
      <c r="B206" t="s">
        <v>141</v>
      </c>
      <c r="C206" t="s">
        <v>68</v>
      </c>
      <c r="D206">
        <v>42.670029999999997</v>
      </c>
      <c r="E206">
        <v>-73.797709999999995</v>
      </c>
      <c r="F206" t="s">
        <v>31</v>
      </c>
      <c r="G206">
        <v>80</v>
      </c>
      <c r="H206">
        <v>1</v>
      </c>
      <c r="I206">
        <v>75</v>
      </c>
      <c r="J206" s="1">
        <v>46142</v>
      </c>
      <c r="K206">
        <v>2.35</v>
      </c>
      <c r="L206">
        <v>12</v>
      </c>
      <c r="M206">
        <v>18</v>
      </c>
      <c r="N206">
        <v>11</v>
      </c>
      <c r="O206" t="str">
        <f t="shared" si="6"/>
        <v>0-100</v>
      </c>
      <c r="P206" t="str">
        <f>IF(airbnb_data3[[#This Row],[price]]&lt;=100,"Budget",
IF(airbnb_data3[[#This Row],[price]]&lt;=200,"Mid-range",
IF(airbnb_data3[[#This Row],[price]]&lt;=300,"Premium","Luxury")))</f>
        <v>Budget</v>
      </c>
      <c r="Q206" t="str">
        <f>IF(airbnb_data3[[#This Row],[availability_365]]&lt;=120,"Low Availability",IF(airbnb_data3[[#This Row],[availability_365]]&lt;=240,"Medium Availability","High Availability"))</f>
        <v>Low Availability</v>
      </c>
      <c r="R206" s="6" t="str">
        <f t="shared" si="7"/>
        <v>Medium</v>
      </c>
      <c r="S206" s="6" t="str">
        <f>IF(airbnb_data3[[#This Row],[minimum_nights]]&lt;=3,"Short Stay",IF(airbnb_data3[[#This Row],[minimum_nights]]&lt;=7,"Medium Stay","Long Stay"))</f>
        <v>Short Stay</v>
      </c>
    </row>
    <row r="207" spans="1:19" x14ac:dyDescent="0.35">
      <c r="A207" t="s">
        <v>347</v>
      </c>
      <c r="B207" t="s">
        <v>141</v>
      </c>
      <c r="C207" t="s">
        <v>68</v>
      </c>
      <c r="D207">
        <v>42.669710000000002</v>
      </c>
      <c r="E207">
        <v>-73.797550000000001</v>
      </c>
      <c r="F207" t="s">
        <v>31</v>
      </c>
      <c r="G207">
        <v>84</v>
      </c>
      <c r="H207">
        <v>1</v>
      </c>
      <c r="I207">
        <v>113</v>
      </c>
      <c r="J207" s="1">
        <v>46171</v>
      </c>
      <c r="K207">
        <v>3.55</v>
      </c>
      <c r="L207">
        <v>12</v>
      </c>
      <c r="M207">
        <v>10</v>
      </c>
      <c r="N207">
        <v>42</v>
      </c>
      <c r="O207" t="str">
        <f t="shared" si="6"/>
        <v>0-100</v>
      </c>
      <c r="P207" t="str">
        <f>IF(airbnb_data3[[#This Row],[price]]&lt;=100,"Budget",
IF(airbnb_data3[[#This Row],[price]]&lt;=200,"Mid-range",
IF(airbnb_data3[[#This Row],[price]]&lt;=300,"Premium","Luxury")))</f>
        <v>Budget</v>
      </c>
      <c r="Q207" t="str">
        <f>IF(airbnb_data3[[#This Row],[availability_365]]&lt;=120,"Low Availability",IF(airbnb_data3[[#This Row],[availability_365]]&lt;=240,"Medium Availability","High Availability"))</f>
        <v>Low Availability</v>
      </c>
      <c r="R207" s="6" t="str">
        <f t="shared" si="7"/>
        <v>Medium</v>
      </c>
      <c r="S207" s="6" t="str">
        <f>IF(airbnb_data3[[#This Row],[minimum_nights]]&lt;=3,"Short Stay",IF(airbnb_data3[[#This Row],[minimum_nights]]&lt;=7,"Medium Stay","Long Stay"))</f>
        <v>Short Stay</v>
      </c>
    </row>
    <row r="208" spans="1:19" x14ac:dyDescent="0.35">
      <c r="A208" t="s">
        <v>348</v>
      </c>
      <c r="B208" t="s">
        <v>141</v>
      </c>
      <c r="C208" t="s">
        <v>34</v>
      </c>
      <c r="D208">
        <v>42.668066082320202</v>
      </c>
      <c r="E208">
        <v>-73.798249470274499</v>
      </c>
      <c r="F208" t="s">
        <v>31</v>
      </c>
      <c r="G208">
        <v>73</v>
      </c>
      <c r="H208">
        <v>1</v>
      </c>
      <c r="I208">
        <v>19</v>
      </c>
      <c r="J208" s="1">
        <v>46165</v>
      </c>
      <c r="K208">
        <v>0.59</v>
      </c>
      <c r="L208">
        <v>12</v>
      </c>
      <c r="M208">
        <v>3</v>
      </c>
      <c r="N208">
        <v>17</v>
      </c>
      <c r="O208" t="str">
        <f t="shared" si="6"/>
        <v>0-100</v>
      </c>
      <c r="P208" t="str">
        <f>IF(airbnb_data3[[#This Row],[price]]&lt;=100,"Budget",
IF(airbnb_data3[[#This Row],[price]]&lt;=200,"Mid-range",
IF(airbnb_data3[[#This Row],[price]]&lt;=300,"Premium","Luxury")))</f>
        <v>Budget</v>
      </c>
      <c r="Q208" t="str">
        <f>IF(airbnb_data3[[#This Row],[availability_365]]&lt;=120,"Low Availability",IF(airbnb_data3[[#This Row],[availability_365]]&lt;=240,"Medium Availability","High Availability"))</f>
        <v>Low Availability</v>
      </c>
      <c r="R208" s="6" t="str">
        <f t="shared" si="7"/>
        <v>Medium</v>
      </c>
      <c r="S208" s="6" t="str">
        <f>IF(airbnb_data3[[#This Row],[minimum_nights]]&lt;=3,"Short Stay",IF(airbnb_data3[[#This Row],[minimum_nights]]&lt;=7,"Medium Stay","Long Stay"))</f>
        <v>Short Stay</v>
      </c>
    </row>
    <row r="209" spans="1:19" x14ac:dyDescent="0.35">
      <c r="A209" t="s">
        <v>349</v>
      </c>
      <c r="B209" t="s">
        <v>141</v>
      </c>
      <c r="C209" t="s">
        <v>68</v>
      </c>
      <c r="D209">
        <v>42.669899245465501</v>
      </c>
      <c r="E209">
        <v>-73.797703105761101</v>
      </c>
      <c r="F209" t="s">
        <v>22</v>
      </c>
      <c r="G209">
        <v>1265</v>
      </c>
      <c r="H209">
        <v>1</v>
      </c>
      <c r="I209">
        <v>11</v>
      </c>
      <c r="J209" s="1">
        <v>46172</v>
      </c>
      <c r="K209">
        <v>1.76</v>
      </c>
      <c r="L209">
        <v>12</v>
      </c>
      <c r="M209">
        <v>337</v>
      </c>
      <c r="N209">
        <v>11</v>
      </c>
      <c r="O209" t="str">
        <f t="shared" si="6"/>
        <v>500+</v>
      </c>
      <c r="P209" t="str">
        <f>IF(airbnb_data3[[#This Row],[price]]&lt;=100,"Budget",
IF(airbnb_data3[[#This Row],[price]]&lt;=200,"Mid-range",
IF(airbnb_data3[[#This Row],[price]]&lt;=300,"Premium","Luxury")))</f>
        <v>Luxury</v>
      </c>
      <c r="Q209" t="str">
        <f>IF(airbnb_data3[[#This Row],[availability_365]]&lt;=120,"Low Availability",IF(airbnb_data3[[#This Row],[availability_365]]&lt;=240,"Medium Availability","High Availability"))</f>
        <v>High Availability</v>
      </c>
      <c r="R209" s="6" t="str">
        <f t="shared" si="7"/>
        <v>Medium</v>
      </c>
      <c r="S209" s="6" t="str">
        <f>IF(airbnb_data3[[#This Row],[minimum_nights]]&lt;=3,"Short Stay",IF(airbnb_data3[[#This Row],[minimum_nights]]&lt;=7,"Medium Stay","Long Stay"))</f>
        <v>Short Stay</v>
      </c>
    </row>
    <row r="210" spans="1:19" x14ac:dyDescent="0.35">
      <c r="A210" t="s">
        <v>350</v>
      </c>
      <c r="B210" t="s">
        <v>141</v>
      </c>
      <c r="C210" t="s">
        <v>34</v>
      </c>
      <c r="D210">
        <v>42.668729999999996</v>
      </c>
      <c r="E210">
        <v>-73.799300000000002</v>
      </c>
      <c r="F210" t="s">
        <v>31</v>
      </c>
      <c r="G210">
        <v>86</v>
      </c>
      <c r="H210">
        <v>1</v>
      </c>
      <c r="I210">
        <v>53</v>
      </c>
      <c r="J210" s="1">
        <v>46129</v>
      </c>
      <c r="K210">
        <v>1.67</v>
      </c>
      <c r="L210">
        <v>12</v>
      </c>
      <c r="M210">
        <v>9</v>
      </c>
      <c r="N210">
        <v>31</v>
      </c>
      <c r="O210" t="str">
        <f t="shared" si="6"/>
        <v>0-100</v>
      </c>
      <c r="P210" t="str">
        <f>IF(airbnb_data3[[#This Row],[price]]&lt;=100,"Budget",
IF(airbnb_data3[[#This Row],[price]]&lt;=200,"Mid-range",
IF(airbnb_data3[[#This Row],[price]]&lt;=300,"Premium","Luxury")))</f>
        <v>Budget</v>
      </c>
      <c r="Q210" t="str">
        <f>IF(airbnb_data3[[#This Row],[availability_365]]&lt;=120,"Low Availability",IF(airbnb_data3[[#This Row],[availability_365]]&lt;=240,"Medium Availability","High Availability"))</f>
        <v>Low Availability</v>
      </c>
      <c r="R210" s="6" t="str">
        <f t="shared" si="7"/>
        <v>Medium</v>
      </c>
      <c r="S210" s="6" t="str">
        <f>IF(airbnb_data3[[#This Row],[minimum_nights]]&lt;=3,"Short Stay",IF(airbnb_data3[[#This Row],[minimum_nights]]&lt;=7,"Medium Stay","Long Stay"))</f>
        <v>Short Stay</v>
      </c>
    </row>
    <row r="211" spans="1:19" x14ac:dyDescent="0.35">
      <c r="A211" t="s">
        <v>351</v>
      </c>
      <c r="B211" t="s">
        <v>352</v>
      </c>
      <c r="C211" t="s">
        <v>51</v>
      </c>
      <c r="D211">
        <v>42.6558992</v>
      </c>
      <c r="E211">
        <v>-73.796569899999994</v>
      </c>
      <c r="F211" t="s">
        <v>31</v>
      </c>
      <c r="G211">
        <v>35</v>
      </c>
      <c r="H211">
        <v>1</v>
      </c>
      <c r="I211">
        <v>0</v>
      </c>
      <c r="K211">
        <v>0</v>
      </c>
      <c r="L211">
        <v>1</v>
      </c>
      <c r="M211">
        <v>88</v>
      </c>
      <c r="N211">
        <v>0</v>
      </c>
      <c r="O211" t="str">
        <f t="shared" si="6"/>
        <v>0-100</v>
      </c>
      <c r="P211" t="str">
        <f>IF(airbnb_data3[[#This Row],[price]]&lt;=100,"Budget",
IF(airbnb_data3[[#This Row],[price]]&lt;=200,"Mid-range",
IF(airbnb_data3[[#This Row],[price]]&lt;=300,"Premium","Luxury")))</f>
        <v>Budget</v>
      </c>
      <c r="Q211" t="str">
        <f>IF(airbnb_data3[[#This Row],[availability_365]]&lt;=120,"Low Availability",IF(airbnb_data3[[#This Row],[availability_365]]&lt;=240,"Medium Availability","High Availability"))</f>
        <v>Low Availability</v>
      </c>
      <c r="R211" s="6" t="str">
        <f t="shared" si="7"/>
        <v>Medium</v>
      </c>
      <c r="S211" s="6" t="str">
        <f>IF(airbnb_data3[[#This Row],[minimum_nights]]&lt;=3,"Short Stay",IF(airbnb_data3[[#This Row],[minimum_nights]]&lt;=7,"Medium Stay","Long Stay"))</f>
        <v>Short Stay</v>
      </c>
    </row>
    <row r="212" spans="1:19" x14ac:dyDescent="0.35">
      <c r="A212" t="s">
        <v>353</v>
      </c>
      <c r="B212" t="s">
        <v>354</v>
      </c>
      <c r="C212" t="s">
        <v>25</v>
      </c>
      <c r="D212">
        <v>42.655389999999997</v>
      </c>
      <c r="E212">
        <v>-73.764160000000004</v>
      </c>
      <c r="F212" t="s">
        <v>22</v>
      </c>
      <c r="G212">
        <v>199</v>
      </c>
      <c r="H212">
        <v>1</v>
      </c>
      <c r="I212">
        <v>62</v>
      </c>
      <c r="J212" s="1">
        <v>46171</v>
      </c>
      <c r="K212">
        <v>1.95</v>
      </c>
      <c r="L212">
        <v>5</v>
      </c>
      <c r="M212">
        <v>58</v>
      </c>
      <c r="N212">
        <v>21</v>
      </c>
      <c r="O212" t="str">
        <f t="shared" si="6"/>
        <v>101-200</v>
      </c>
      <c r="P212" t="str">
        <f>IF(airbnb_data3[[#This Row],[price]]&lt;=100,"Budget",
IF(airbnb_data3[[#This Row],[price]]&lt;=200,"Mid-range",
IF(airbnb_data3[[#This Row],[price]]&lt;=300,"Premium","Luxury")))</f>
        <v>Mid-range</v>
      </c>
      <c r="Q212" t="str">
        <f>IF(airbnb_data3[[#This Row],[availability_365]]&lt;=120,"Low Availability",IF(airbnb_data3[[#This Row],[availability_365]]&lt;=240,"Medium Availability","High Availability"))</f>
        <v>Low Availability</v>
      </c>
      <c r="R212" s="6" t="str">
        <f t="shared" si="7"/>
        <v>High</v>
      </c>
      <c r="S212" s="6" t="str">
        <f>IF(airbnb_data3[[#This Row],[minimum_nights]]&lt;=3,"Short Stay",IF(airbnb_data3[[#This Row],[minimum_nights]]&lt;=7,"Medium Stay","Long Stay"))</f>
        <v>Short Stay</v>
      </c>
    </row>
    <row r="213" spans="1:19" x14ac:dyDescent="0.35">
      <c r="A213" t="s">
        <v>355</v>
      </c>
      <c r="B213" t="s">
        <v>141</v>
      </c>
      <c r="C213" t="s">
        <v>34</v>
      </c>
      <c r="D213">
        <v>42.667920312986197</v>
      </c>
      <c r="E213">
        <v>-73.798957606712094</v>
      </c>
      <c r="F213" t="s">
        <v>31</v>
      </c>
      <c r="G213">
        <v>75</v>
      </c>
      <c r="H213">
        <v>1</v>
      </c>
      <c r="I213">
        <v>54</v>
      </c>
      <c r="J213" s="1">
        <v>46171</v>
      </c>
      <c r="K213">
        <v>1.72</v>
      </c>
      <c r="L213">
        <v>12</v>
      </c>
      <c r="M213">
        <v>10</v>
      </c>
      <c r="N213">
        <v>37</v>
      </c>
      <c r="O213" t="str">
        <f t="shared" si="6"/>
        <v>0-100</v>
      </c>
      <c r="P213" t="str">
        <f>IF(airbnb_data3[[#This Row],[price]]&lt;=100,"Budget",
IF(airbnb_data3[[#This Row],[price]]&lt;=200,"Mid-range",
IF(airbnb_data3[[#This Row],[price]]&lt;=300,"Premium","Luxury")))</f>
        <v>Budget</v>
      </c>
      <c r="Q213" t="str">
        <f>IF(airbnb_data3[[#This Row],[availability_365]]&lt;=120,"Low Availability",IF(airbnb_data3[[#This Row],[availability_365]]&lt;=240,"Medium Availability","High Availability"))</f>
        <v>Low Availability</v>
      </c>
      <c r="R213" s="6" t="str">
        <f t="shared" si="7"/>
        <v>Medium</v>
      </c>
      <c r="S213" s="6" t="str">
        <f>IF(airbnb_data3[[#This Row],[minimum_nights]]&lt;=3,"Short Stay",IF(airbnb_data3[[#This Row],[minimum_nights]]&lt;=7,"Medium Stay","Long Stay"))</f>
        <v>Short Stay</v>
      </c>
    </row>
    <row r="214" spans="1:19" x14ac:dyDescent="0.35">
      <c r="A214" t="s">
        <v>356</v>
      </c>
      <c r="B214" t="s">
        <v>141</v>
      </c>
      <c r="C214" t="s">
        <v>68</v>
      </c>
      <c r="D214">
        <v>42.669960000000003</v>
      </c>
      <c r="E214">
        <v>-73.798159999999996</v>
      </c>
      <c r="F214" t="s">
        <v>31</v>
      </c>
      <c r="G214">
        <v>86</v>
      </c>
      <c r="H214">
        <v>1</v>
      </c>
      <c r="I214">
        <v>110</v>
      </c>
      <c r="J214" s="1">
        <v>46175</v>
      </c>
      <c r="K214">
        <v>3.48</v>
      </c>
      <c r="L214">
        <v>12</v>
      </c>
      <c r="M214">
        <v>9</v>
      </c>
      <c r="N214">
        <v>21</v>
      </c>
      <c r="O214" t="str">
        <f t="shared" si="6"/>
        <v>0-100</v>
      </c>
      <c r="P214" t="str">
        <f>IF(airbnb_data3[[#This Row],[price]]&lt;=100,"Budget",
IF(airbnb_data3[[#This Row],[price]]&lt;=200,"Mid-range",
IF(airbnb_data3[[#This Row],[price]]&lt;=300,"Premium","Luxury")))</f>
        <v>Budget</v>
      </c>
      <c r="Q214" t="str">
        <f>IF(airbnb_data3[[#This Row],[availability_365]]&lt;=120,"Low Availability",IF(airbnb_data3[[#This Row],[availability_365]]&lt;=240,"Medium Availability","High Availability"))</f>
        <v>Low Availability</v>
      </c>
      <c r="R214" s="6" t="str">
        <f t="shared" si="7"/>
        <v>High</v>
      </c>
      <c r="S214" s="6" t="str">
        <f>IF(airbnb_data3[[#This Row],[minimum_nights]]&lt;=3,"Short Stay",IF(airbnb_data3[[#This Row],[minimum_nights]]&lt;=7,"Medium Stay","Long Stay"))</f>
        <v>Short Stay</v>
      </c>
    </row>
    <row r="215" spans="1:19" x14ac:dyDescent="0.35">
      <c r="A215" t="s">
        <v>357</v>
      </c>
      <c r="B215" t="s">
        <v>182</v>
      </c>
      <c r="C215" t="s">
        <v>25</v>
      </c>
      <c r="D215">
        <v>42.653500000000001</v>
      </c>
      <c r="E215">
        <v>-73.77046</v>
      </c>
      <c r="F215" t="s">
        <v>22</v>
      </c>
      <c r="G215">
        <v>164</v>
      </c>
      <c r="H215">
        <v>1</v>
      </c>
      <c r="I215">
        <v>71</v>
      </c>
      <c r="J215" s="1">
        <v>46166</v>
      </c>
      <c r="K215">
        <v>2.2599999999999998</v>
      </c>
      <c r="L215">
        <v>16</v>
      </c>
      <c r="M215">
        <v>334</v>
      </c>
      <c r="N215">
        <v>11</v>
      </c>
      <c r="O215" t="str">
        <f t="shared" si="6"/>
        <v>101-200</v>
      </c>
      <c r="P215" t="str">
        <f>IF(airbnb_data3[[#This Row],[price]]&lt;=100,"Budget",
IF(airbnb_data3[[#This Row],[price]]&lt;=200,"Mid-range",
IF(airbnb_data3[[#This Row],[price]]&lt;=300,"Premium","Luxury")))</f>
        <v>Mid-range</v>
      </c>
      <c r="Q215" t="str">
        <f>IF(airbnb_data3[[#This Row],[availability_365]]&lt;=120,"Low Availability",IF(airbnb_data3[[#This Row],[availability_365]]&lt;=240,"Medium Availability","High Availability"))</f>
        <v>High Availability</v>
      </c>
      <c r="R215" s="6" t="str">
        <f t="shared" si="7"/>
        <v>Medium</v>
      </c>
      <c r="S215" s="6" t="str">
        <f>IF(airbnb_data3[[#This Row],[minimum_nights]]&lt;=3,"Short Stay",IF(airbnb_data3[[#This Row],[minimum_nights]]&lt;=7,"Medium Stay","Long Stay"))</f>
        <v>Short Stay</v>
      </c>
    </row>
    <row r="216" spans="1:19" x14ac:dyDescent="0.35">
      <c r="A216" t="s">
        <v>358</v>
      </c>
      <c r="B216" t="s">
        <v>359</v>
      </c>
      <c r="C216" t="s">
        <v>28</v>
      </c>
      <c r="D216">
        <v>42.64714</v>
      </c>
      <c r="E216">
        <v>-73.754660000000001</v>
      </c>
      <c r="F216" t="s">
        <v>22</v>
      </c>
      <c r="G216">
        <v>123</v>
      </c>
      <c r="H216">
        <v>1</v>
      </c>
      <c r="I216">
        <v>219</v>
      </c>
      <c r="J216" s="1">
        <v>46177</v>
      </c>
      <c r="K216">
        <v>7.12</v>
      </c>
      <c r="L216">
        <v>8</v>
      </c>
      <c r="M216">
        <v>231</v>
      </c>
      <c r="N216">
        <v>75</v>
      </c>
      <c r="O216" t="str">
        <f t="shared" si="6"/>
        <v>101-200</v>
      </c>
      <c r="P216" t="str">
        <f>IF(airbnb_data3[[#This Row],[price]]&lt;=100,"Budget",
IF(airbnb_data3[[#This Row],[price]]&lt;=200,"Mid-range",
IF(airbnb_data3[[#This Row],[price]]&lt;=300,"Premium","Luxury")))</f>
        <v>Mid-range</v>
      </c>
      <c r="Q216" t="str">
        <f>IF(airbnb_data3[[#This Row],[availability_365]]&lt;=120,"Low Availability",IF(airbnb_data3[[#This Row],[availability_365]]&lt;=240,"Medium Availability","High Availability"))</f>
        <v>Medium Availability</v>
      </c>
      <c r="R216" s="6" t="str">
        <f t="shared" si="7"/>
        <v>Medium</v>
      </c>
      <c r="S216" s="6" t="str">
        <f>IF(airbnb_data3[[#This Row],[minimum_nights]]&lt;=3,"Short Stay",IF(airbnb_data3[[#This Row],[minimum_nights]]&lt;=7,"Medium Stay","Long Stay"))</f>
        <v>Short Stay</v>
      </c>
    </row>
    <row r="217" spans="1:19" x14ac:dyDescent="0.35">
      <c r="A217" t="s">
        <v>360</v>
      </c>
      <c r="B217" t="s">
        <v>132</v>
      </c>
      <c r="C217" t="s">
        <v>21</v>
      </c>
      <c r="D217">
        <v>42.6586</v>
      </c>
      <c r="E217">
        <v>-73.764210000000006</v>
      </c>
      <c r="F217" t="s">
        <v>22</v>
      </c>
      <c r="G217">
        <v>216</v>
      </c>
      <c r="H217">
        <v>1</v>
      </c>
      <c r="I217">
        <v>30</v>
      </c>
      <c r="J217" s="1">
        <v>46115</v>
      </c>
      <c r="K217">
        <v>0.96</v>
      </c>
      <c r="L217">
        <v>16</v>
      </c>
      <c r="M217">
        <v>190</v>
      </c>
      <c r="N217">
        <v>9</v>
      </c>
      <c r="O217" t="str">
        <f t="shared" si="6"/>
        <v>201-300</v>
      </c>
      <c r="P217" t="str">
        <f>IF(airbnb_data3[[#This Row],[price]]&lt;=100,"Budget",
IF(airbnb_data3[[#This Row],[price]]&lt;=200,"Mid-range",
IF(airbnb_data3[[#This Row],[price]]&lt;=300,"Premium","Luxury")))</f>
        <v>Premium</v>
      </c>
      <c r="Q217" t="str">
        <f>IF(airbnb_data3[[#This Row],[availability_365]]&lt;=120,"Low Availability",IF(airbnb_data3[[#This Row],[availability_365]]&lt;=240,"Medium Availability","High Availability"))</f>
        <v>Medium Availability</v>
      </c>
      <c r="R217" s="6" t="str">
        <f t="shared" si="7"/>
        <v>Medium</v>
      </c>
      <c r="S217" s="6" t="str">
        <f>IF(airbnb_data3[[#This Row],[minimum_nights]]&lt;=3,"Short Stay",IF(airbnb_data3[[#This Row],[minimum_nights]]&lt;=7,"Medium Stay","Long Stay"))</f>
        <v>Short Stay</v>
      </c>
    </row>
    <row r="218" spans="1:19" x14ac:dyDescent="0.35">
      <c r="A218" t="s">
        <v>361</v>
      </c>
      <c r="B218" t="s">
        <v>132</v>
      </c>
      <c r="C218" t="s">
        <v>21</v>
      </c>
      <c r="D218">
        <v>42.659709999999997</v>
      </c>
      <c r="E218">
        <v>-73.763819999999996</v>
      </c>
      <c r="F218" t="s">
        <v>22</v>
      </c>
      <c r="G218">
        <v>216</v>
      </c>
      <c r="H218">
        <v>1</v>
      </c>
      <c r="I218">
        <v>37</v>
      </c>
      <c r="J218" s="1">
        <v>46181</v>
      </c>
      <c r="K218">
        <v>1.19</v>
      </c>
      <c r="L218">
        <v>16</v>
      </c>
      <c r="M218">
        <v>1</v>
      </c>
      <c r="N218">
        <v>8</v>
      </c>
      <c r="O218" t="str">
        <f t="shared" si="6"/>
        <v>201-300</v>
      </c>
      <c r="P218" t="str">
        <f>IF(airbnb_data3[[#This Row],[price]]&lt;=100,"Budget",
IF(airbnb_data3[[#This Row],[price]]&lt;=200,"Mid-range",
IF(airbnb_data3[[#This Row],[price]]&lt;=300,"Premium","Luxury")))</f>
        <v>Premium</v>
      </c>
      <c r="Q218" t="str">
        <f>IF(airbnb_data3[[#This Row],[availability_365]]&lt;=120,"Low Availability",IF(airbnb_data3[[#This Row],[availability_365]]&lt;=240,"Medium Availability","High Availability"))</f>
        <v>Low Availability</v>
      </c>
      <c r="R218" s="6" t="str">
        <f t="shared" si="7"/>
        <v>Medium</v>
      </c>
      <c r="S218" s="6" t="str">
        <f>IF(airbnb_data3[[#This Row],[minimum_nights]]&lt;=3,"Short Stay",IF(airbnb_data3[[#This Row],[minimum_nights]]&lt;=7,"Medium Stay","Long Stay"))</f>
        <v>Short Stay</v>
      </c>
    </row>
    <row r="219" spans="1:19" x14ac:dyDescent="0.35">
      <c r="A219" t="s">
        <v>363</v>
      </c>
      <c r="B219" t="s">
        <v>364</v>
      </c>
      <c r="C219" t="s">
        <v>28</v>
      </c>
      <c r="D219">
        <v>42.639760000000003</v>
      </c>
      <c r="E219">
        <v>-73.757050000000007</v>
      </c>
      <c r="F219" t="s">
        <v>22</v>
      </c>
      <c r="G219">
        <v>171</v>
      </c>
      <c r="H219">
        <v>1</v>
      </c>
      <c r="I219">
        <v>31</v>
      </c>
      <c r="J219" s="1">
        <v>46167</v>
      </c>
      <c r="K219">
        <v>1.0900000000000001</v>
      </c>
      <c r="L219">
        <v>1</v>
      </c>
      <c r="M219">
        <v>347</v>
      </c>
      <c r="N219">
        <v>12</v>
      </c>
      <c r="O219" t="str">
        <f t="shared" si="6"/>
        <v>101-200</v>
      </c>
      <c r="P219" t="str">
        <f>IF(airbnb_data3[[#This Row],[price]]&lt;=100,"Budget",
IF(airbnb_data3[[#This Row],[price]]&lt;=200,"Mid-range",
IF(airbnb_data3[[#This Row],[price]]&lt;=300,"Premium","Luxury")))</f>
        <v>Mid-range</v>
      </c>
      <c r="Q219" t="str">
        <f>IF(airbnb_data3[[#This Row],[availability_365]]&lt;=120,"Low Availability",IF(airbnb_data3[[#This Row],[availability_365]]&lt;=240,"Medium Availability","High Availability"))</f>
        <v>High Availability</v>
      </c>
      <c r="R219" s="6" t="str">
        <f t="shared" si="7"/>
        <v>Medium</v>
      </c>
      <c r="S219" s="6" t="str">
        <f>IF(airbnb_data3[[#This Row],[minimum_nights]]&lt;=3,"Short Stay",IF(airbnb_data3[[#This Row],[minimum_nights]]&lt;=7,"Medium Stay","Long Stay"))</f>
        <v>Short Stay</v>
      </c>
    </row>
    <row r="220" spans="1:19" x14ac:dyDescent="0.35">
      <c r="A220" t="s">
        <v>365</v>
      </c>
      <c r="B220" t="s">
        <v>366</v>
      </c>
      <c r="C220" t="s">
        <v>117</v>
      </c>
      <c r="D220">
        <v>42.640810000000002</v>
      </c>
      <c r="E220">
        <v>-73.774630000000002</v>
      </c>
      <c r="F220" t="s">
        <v>22</v>
      </c>
      <c r="G220">
        <v>93</v>
      </c>
      <c r="H220">
        <v>30</v>
      </c>
      <c r="I220">
        <v>9</v>
      </c>
      <c r="J220" s="1">
        <v>45765</v>
      </c>
      <c r="K220">
        <v>0.3</v>
      </c>
      <c r="L220">
        <v>1</v>
      </c>
      <c r="M220">
        <v>257</v>
      </c>
      <c r="N220">
        <v>0</v>
      </c>
      <c r="O220" t="str">
        <f t="shared" si="6"/>
        <v>0-100</v>
      </c>
      <c r="P220" t="str">
        <f>IF(airbnb_data3[[#This Row],[price]]&lt;=100,"Budget",
IF(airbnb_data3[[#This Row],[price]]&lt;=200,"Mid-range",
IF(airbnb_data3[[#This Row],[price]]&lt;=300,"Premium","Luxury")))</f>
        <v>Budget</v>
      </c>
      <c r="Q220" t="str">
        <f>IF(airbnb_data3[[#This Row],[availability_365]]&lt;=120,"Low Availability",IF(airbnb_data3[[#This Row],[availability_365]]&lt;=240,"Medium Availability","High Availability"))</f>
        <v>High Availability</v>
      </c>
      <c r="R220" s="6" t="str">
        <f t="shared" si="7"/>
        <v>Medium</v>
      </c>
      <c r="S220" s="6" t="str">
        <f>IF(airbnb_data3[[#This Row],[minimum_nights]]&lt;=3,"Short Stay",IF(airbnb_data3[[#This Row],[minimum_nights]]&lt;=7,"Medium Stay","Long Stay"))</f>
        <v>Long Stay</v>
      </c>
    </row>
    <row r="221" spans="1:19" x14ac:dyDescent="0.35">
      <c r="A221" t="s">
        <v>369</v>
      </c>
      <c r="B221" t="s">
        <v>87</v>
      </c>
      <c r="C221" t="s">
        <v>28</v>
      </c>
      <c r="D221">
        <v>42.644179999999999</v>
      </c>
      <c r="E221">
        <v>-73.753159999999994</v>
      </c>
      <c r="F221" t="s">
        <v>22</v>
      </c>
      <c r="G221">
        <v>531</v>
      </c>
      <c r="H221">
        <v>1</v>
      </c>
      <c r="I221">
        <v>24</v>
      </c>
      <c r="J221" s="1">
        <v>46173</v>
      </c>
      <c r="K221">
        <v>0.85</v>
      </c>
      <c r="L221">
        <v>11</v>
      </c>
      <c r="M221">
        <v>351</v>
      </c>
      <c r="N221">
        <v>6</v>
      </c>
      <c r="O221" t="str">
        <f t="shared" si="6"/>
        <v>500+</v>
      </c>
      <c r="P221" t="str">
        <f>IF(airbnb_data3[[#This Row],[price]]&lt;=100,"Budget",
IF(airbnb_data3[[#This Row],[price]]&lt;=200,"Mid-range",
IF(airbnb_data3[[#This Row],[price]]&lt;=300,"Premium","Luxury")))</f>
        <v>Luxury</v>
      </c>
      <c r="Q221" t="str">
        <f>IF(airbnb_data3[[#This Row],[availability_365]]&lt;=120,"Low Availability",IF(airbnb_data3[[#This Row],[availability_365]]&lt;=240,"Medium Availability","High Availability"))</f>
        <v>High Availability</v>
      </c>
      <c r="R221" s="6" t="str">
        <f t="shared" si="7"/>
        <v>Medium</v>
      </c>
      <c r="S221" s="6" t="str">
        <f>IF(airbnb_data3[[#This Row],[minimum_nights]]&lt;=3,"Short Stay",IF(airbnb_data3[[#This Row],[minimum_nights]]&lt;=7,"Medium Stay","Long Stay"))</f>
        <v>Short Stay</v>
      </c>
    </row>
    <row r="222" spans="1:19" x14ac:dyDescent="0.35">
      <c r="A222" t="s">
        <v>370</v>
      </c>
      <c r="B222" t="s">
        <v>276</v>
      </c>
      <c r="C222" t="s">
        <v>68</v>
      </c>
      <c r="D222">
        <v>42.670960000000001</v>
      </c>
      <c r="E222">
        <v>-73.795140000000004</v>
      </c>
      <c r="F222" t="s">
        <v>31</v>
      </c>
      <c r="G222">
        <v>82</v>
      </c>
      <c r="H222">
        <v>4</v>
      </c>
      <c r="I222">
        <v>17</v>
      </c>
      <c r="J222" s="1">
        <v>46162</v>
      </c>
      <c r="K222">
        <v>0.59</v>
      </c>
      <c r="L222">
        <v>13</v>
      </c>
      <c r="M222">
        <v>72</v>
      </c>
      <c r="N222">
        <v>5</v>
      </c>
      <c r="O222" t="str">
        <f t="shared" si="6"/>
        <v>0-100</v>
      </c>
      <c r="P222" t="str">
        <f>IF(airbnb_data3[[#This Row],[price]]&lt;=100,"Budget",
IF(airbnb_data3[[#This Row],[price]]&lt;=200,"Mid-range",
IF(airbnb_data3[[#This Row],[price]]&lt;=300,"Premium","Luxury")))</f>
        <v>Budget</v>
      </c>
      <c r="Q222" t="str">
        <f>IF(airbnb_data3[[#This Row],[availability_365]]&lt;=120,"Low Availability",IF(airbnb_data3[[#This Row],[availability_365]]&lt;=240,"Medium Availability","High Availability"))</f>
        <v>Low Availability</v>
      </c>
      <c r="R222" s="6" t="str">
        <f t="shared" si="7"/>
        <v>Medium</v>
      </c>
      <c r="S222" s="6" t="str">
        <f>IF(airbnb_data3[[#This Row],[minimum_nights]]&lt;=3,"Short Stay",IF(airbnb_data3[[#This Row],[minimum_nights]]&lt;=7,"Medium Stay","Long Stay"))</f>
        <v>Medium Stay</v>
      </c>
    </row>
    <row r="223" spans="1:19" x14ac:dyDescent="0.35">
      <c r="A223" t="s">
        <v>372</v>
      </c>
      <c r="B223" t="s">
        <v>299</v>
      </c>
      <c r="C223" t="s">
        <v>21</v>
      </c>
      <c r="D223">
        <v>42.659750000000003</v>
      </c>
      <c r="E223">
        <v>-73.763109999999998</v>
      </c>
      <c r="F223" t="s">
        <v>22</v>
      </c>
      <c r="G223">
        <v>88</v>
      </c>
      <c r="H223">
        <v>14</v>
      </c>
      <c r="I223">
        <v>1</v>
      </c>
      <c r="J223" s="1">
        <v>45620</v>
      </c>
      <c r="K223">
        <v>0.05</v>
      </c>
      <c r="L223">
        <v>4</v>
      </c>
      <c r="M223">
        <v>268</v>
      </c>
      <c r="N223">
        <v>0</v>
      </c>
      <c r="O223" t="str">
        <f t="shared" si="6"/>
        <v>0-100</v>
      </c>
      <c r="P223" t="str">
        <f>IF(airbnb_data3[[#This Row],[price]]&lt;=100,"Budget",
IF(airbnb_data3[[#This Row],[price]]&lt;=200,"Mid-range",
IF(airbnb_data3[[#This Row],[price]]&lt;=300,"Premium","Luxury")))</f>
        <v>Budget</v>
      </c>
      <c r="Q223" t="str">
        <f>IF(airbnb_data3[[#This Row],[availability_365]]&lt;=120,"Low Availability",IF(airbnb_data3[[#This Row],[availability_365]]&lt;=240,"Medium Availability","High Availability"))</f>
        <v>High Availability</v>
      </c>
      <c r="R223" s="6" t="str">
        <f t="shared" si="7"/>
        <v>Medium</v>
      </c>
      <c r="S223" s="6" t="str">
        <f>IF(airbnb_data3[[#This Row],[minimum_nights]]&lt;=3,"Short Stay",IF(airbnb_data3[[#This Row],[minimum_nights]]&lt;=7,"Medium Stay","Long Stay"))</f>
        <v>Long Stay</v>
      </c>
    </row>
    <row r="224" spans="1:19" x14ac:dyDescent="0.35">
      <c r="A224" t="s">
        <v>373</v>
      </c>
      <c r="B224" t="s">
        <v>95</v>
      </c>
      <c r="C224" t="s">
        <v>28</v>
      </c>
      <c r="D224">
        <v>42.644089999999998</v>
      </c>
      <c r="E224">
        <v>-73.757090000000005</v>
      </c>
      <c r="F224" t="s">
        <v>22</v>
      </c>
      <c r="G224">
        <v>131</v>
      </c>
      <c r="H224">
        <v>2</v>
      </c>
      <c r="I224">
        <v>98</v>
      </c>
      <c r="J224" s="1">
        <v>46170</v>
      </c>
      <c r="K224">
        <v>3.5</v>
      </c>
      <c r="L224">
        <v>14</v>
      </c>
      <c r="M224">
        <v>77</v>
      </c>
      <c r="N224">
        <v>32</v>
      </c>
      <c r="O224" t="str">
        <f t="shared" si="6"/>
        <v>101-200</v>
      </c>
      <c r="P224" t="str">
        <f>IF(airbnb_data3[[#This Row],[price]]&lt;=100,"Budget",
IF(airbnb_data3[[#This Row],[price]]&lt;=200,"Mid-range",
IF(airbnb_data3[[#This Row],[price]]&lt;=300,"Premium","Luxury")))</f>
        <v>Mid-range</v>
      </c>
      <c r="Q224" t="str">
        <f>IF(airbnb_data3[[#This Row],[availability_365]]&lt;=120,"Low Availability",IF(airbnb_data3[[#This Row],[availability_365]]&lt;=240,"Medium Availability","High Availability"))</f>
        <v>Low Availability</v>
      </c>
      <c r="R224" s="6" t="str">
        <f t="shared" si="7"/>
        <v>Medium</v>
      </c>
      <c r="S224" s="6" t="str">
        <f>IF(airbnb_data3[[#This Row],[minimum_nights]]&lt;=3,"Short Stay",IF(airbnb_data3[[#This Row],[minimum_nights]]&lt;=7,"Medium Stay","Long Stay"))</f>
        <v>Short Stay</v>
      </c>
    </row>
    <row r="225" spans="1:19" x14ac:dyDescent="0.35">
      <c r="A225" t="s">
        <v>374</v>
      </c>
      <c r="B225" t="s">
        <v>95</v>
      </c>
      <c r="C225" t="s">
        <v>25</v>
      </c>
      <c r="D225">
        <v>42.65269</v>
      </c>
      <c r="E225">
        <v>-73.76567</v>
      </c>
      <c r="F225" t="s">
        <v>22</v>
      </c>
      <c r="G225">
        <v>132</v>
      </c>
      <c r="H225">
        <v>2</v>
      </c>
      <c r="I225">
        <v>70</v>
      </c>
      <c r="J225" s="1">
        <v>46162</v>
      </c>
      <c r="K225">
        <v>2.5299999999999998</v>
      </c>
      <c r="L225">
        <v>14</v>
      </c>
      <c r="M225">
        <v>37</v>
      </c>
      <c r="N225">
        <v>21</v>
      </c>
      <c r="O225" t="str">
        <f t="shared" si="6"/>
        <v>101-200</v>
      </c>
      <c r="P225" t="str">
        <f>IF(airbnb_data3[[#This Row],[price]]&lt;=100,"Budget",
IF(airbnb_data3[[#This Row],[price]]&lt;=200,"Mid-range",
IF(airbnb_data3[[#This Row],[price]]&lt;=300,"Premium","Luxury")))</f>
        <v>Mid-range</v>
      </c>
      <c r="Q225" t="str">
        <f>IF(airbnb_data3[[#This Row],[availability_365]]&lt;=120,"Low Availability",IF(airbnb_data3[[#This Row],[availability_365]]&lt;=240,"Medium Availability","High Availability"))</f>
        <v>Low Availability</v>
      </c>
      <c r="R225" s="6" t="str">
        <f t="shared" si="7"/>
        <v>Medium</v>
      </c>
      <c r="S225" s="6" t="str">
        <f>IF(airbnb_data3[[#This Row],[minimum_nights]]&lt;=3,"Short Stay",IF(airbnb_data3[[#This Row],[minimum_nights]]&lt;=7,"Medium Stay","Long Stay"))</f>
        <v>Short Stay</v>
      </c>
    </row>
    <row r="226" spans="1:19" x14ac:dyDescent="0.35">
      <c r="A226" t="s">
        <v>375</v>
      </c>
      <c r="B226" t="s">
        <v>72</v>
      </c>
      <c r="C226" t="s">
        <v>34</v>
      </c>
      <c r="D226">
        <v>42.670079999999999</v>
      </c>
      <c r="E226">
        <v>-73.806910000000002</v>
      </c>
      <c r="F226" t="s">
        <v>22</v>
      </c>
      <c r="G226">
        <v>148</v>
      </c>
      <c r="H226">
        <v>3</v>
      </c>
      <c r="I226">
        <v>51</v>
      </c>
      <c r="J226" s="1">
        <v>46104</v>
      </c>
      <c r="K226">
        <v>1.93</v>
      </c>
      <c r="L226">
        <v>9</v>
      </c>
      <c r="M226">
        <v>257</v>
      </c>
      <c r="N226">
        <v>21</v>
      </c>
      <c r="O226" t="str">
        <f t="shared" si="6"/>
        <v>101-200</v>
      </c>
      <c r="P226" t="str">
        <f>IF(airbnb_data3[[#This Row],[price]]&lt;=100,"Budget",
IF(airbnb_data3[[#This Row],[price]]&lt;=200,"Mid-range",
IF(airbnb_data3[[#This Row],[price]]&lt;=300,"Premium","Luxury")))</f>
        <v>Mid-range</v>
      </c>
      <c r="Q226" t="str">
        <f>IF(airbnb_data3[[#This Row],[availability_365]]&lt;=120,"Low Availability",IF(airbnb_data3[[#This Row],[availability_365]]&lt;=240,"Medium Availability","High Availability"))</f>
        <v>High Availability</v>
      </c>
      <c r="R226" s="6" t="str">
        <f t="shared" si="7"/>
        <v>Medium</v>
      </c>
      <c r="S226" s="6" t="str">
        <f>IF(airbnb_data3[[#This Row],[minimum_nights]]&lt;=3,"Short Stay",IF(airbnb_data3[[#This Row],[minimum_nights]]&lt;=7,"Medium Stay","Long Stay"))</f>
        <v>Short Stay</v>
      </c>
    </row>
    <row r="227" spans="1:19" x14ac:dyDescent="0.35">
      <c r="A227" t="s">
        <v>376</v>
      </c>
      <c r="B227" t="s">
        <v>182</v>
      </c>
      <c r="C227" t="s">
        <v>25</v>
      </c>
      <c r="D227">
        <v>42.652889999999999</v>
      </c>
      <c r="E227">
        <v>-73.768339999999995</v>
      </c>
      <c r="F227" t="s">
        <v>22</v>
      </c>
      <c r="G227">
        <v>181</v>
      </c>
      <c r="H227">
        <v>1</v>
      </c>
      <c r="I227">
        <v>67</v>
      </c>
      <c r="J227" s="1">
        <v>46159</v>
      </c>
      <c r="K227">
        <v>2.42</v>
      </c>
      <c r="L227">
        <v>16</v>
      </c>
      <c r="M227">
        <v>360</v>
      </c>
      <c r="N227">
        <v>17</v>
      </c>
      <c r="O227" t="str">
        <f t="shared" si="6"/>
        <v>101-200</v>
      </c>
      <c r="P227" t="str">
        <f>IF(airbnb_data3[[#This Row],[price]]&lt;=100,"Budget",
IF(airbnb_data3[[#This Row],[price]]&lt;=200,"Mid-range",
IF(airbnb_data3[[#This Row],[price]]&lt;=300,"Premium","Luxury")))</f>
        <v>Mid-range</v>
      </c>
      <c r="Q227" t="str">
        <f>IF(airbnb_data3[[#This Row],[availability_365]]&lt;=120,"Low Availability",IF(airbnb_data3[[#This Row],[availability_365]]&lt;=240,"Medium Availability","High Availability"))</f>
        <v>High Availability</v>
      </c>
      <c r="R227" s="6" t="str">
        <f t="shared" si="7"/>
        <v>Medium</v>
      </c>
      <c r="S227" s="6" t="str">
        <f>IF(airbnb_data3[[#This Row],[minimum_nights]]&lt;=3,"Short Stay",IF(airbnb_data3[[#This Row],[minimum_nights]]&lt;=7,"Medium Stay","Long Stay"))</f>
        <v>Short Stay</v>
      </c>
    </row>
    <row r="228" spans="1:19" x14ac:dyDescent="0.35">
      <c r="A228" t="s">
        <v>377</v>
      </c>
      <c r="B228" t="s">
        <v>141</v>
      </c>
      <c r="C228" t="s">
        <v>68</v>
      </c>
      <c r="D228">
        <v>42.669429999999998</v>
      </c>
      <c r="E228">
        <v>-73.798820000000006</v>
      </c>
      <c r="F228" t="s">
        <v>31</v>
      </c>
      <c r="G228">
        <v>97</v>
      </c>
      <c r="H228">
        <v>1</v>
      </c>
      <c r="I228">
        <v>56</v>
      </c>
      <c r="J228" s="1">
        <v>45951</v>
      </c>
      <c r="K228">
        <v>2.02</v>
      </c>
      <c r="L228">
        <v>12</v>
      </c>
      <c r="M228">
        <v>13</v>
      </c>
      <c r="N228">
        <v>7</v>
      </c>
      <c r="O228" t="str">
        <f t="shared" si="6"/>
        <v>0-100</v>
      </c>
      <c r="P228" t="str">
        <f>IF(airbnb_data3[[#This Row],[price]]&lt;=100,"Budget",
IF(airbnb_data3[[#This Row],[price]]&lt;=200,"Mid-range",
IF(airbnb_data3[[#This Row],[price]]&lt;=300,"Premium","Luxury")))</f>
        <v>Budget</v>
      </c>
      <c r="Q228" t="str">
        <f>IF(airbnb_data3[[#This Row],[availability_365]]&lt;=120,"Low Availability",IF(airbnb_data3[[#This Row],[availability_365]]&lt;=240,"Medium Availability","High Availability"))</f>
        <v>Low Availability</v>
      </c>
      <c r="R228" s="6" t="str">
        <f t="shared" si="7"/>
        <v>Medium</v>
      </c>
      <c r="S228" s="6" t="str">
        <f>IF(airbnb_data3[[#This Row],[minimum_nights]]&lt;=3,"Short Stay",IF(airbnb_data3[[#This Row],[minimum_nights]]&lt;=7,"Medium Stay","Long Stay"))</f>
        <v>Short Stay</v>
      </c>
    </row>
    <row r="229" spans="1:19" x14ac:dyDescent="0.35">
      <c r="A229" t="s">
        <v>380</v>
      </c>
      <c r="B229" t="s">
        <v>381</v>
      </c>
      <c r="C229" t="s">
        <v>21</v>
      </c>
      <c r="D229">
        <v>42.656446899999999</v>
      </c>
      <c r="E229">
        <v>-73.750725099999997</v>
      </c>
      <c r="F229" t="s">
        <v>22</v>
      </c>
      <c r="G229">
        <v>125</v>
      </c>
      <c r="H229">
        <v>2</v>
      </c>
      <c r="I229">
        <v>27</v>
      </c>
      <c r="J229" s="1">
        <v>46103</v>
      </c>
      <c r="K229">
        <v>0.99</v>
      </c>
      <c r="L229">
        <v>2</v>
      </c>
      <c r="M229">
        <v>189</v>
      </c>
      <c r="N229">
        <v>15</v>
      </c>
      <c r="O229" t="str">
        <f t="shared" si="6"/>
        <v>101-200</v>
      </c>
      <c r="P229" t="str">
        <f>IF(airbnb_data3[[#This Row],[price]]&lt;=100,"Budget",
IF(airbnb_data3[[#This Row],[price]]&lt;=200,"Mid-range",
IF(airbnb_data3[[#This Row],[price]]&lt;=300,"Premium","Luxury")))</f>
        <v>Mid-range</v>
      </c>
      <c r="Q229" t="str">
        <f>IF(airbnb_data3[[#This Row],[availability_365]]&lt;=120,"Low Availability",IF(airbnb_data3[[#This Row],[availability_365]]&lt;=240,"Medium Availability","High Availability"))</f>
        <v>Medium Availability</v>
      </c>
      <c r="R229" s="6" t="str">
        <f t="shared" si="7"/>
        <v>Medium</v>
      </c>
      <c r="S229" s="6" t="str">
        <f>IF(airbnb_data3[[#This Row],[minimum_nights]]&lt;=3,"Short Stay",IF(airbnb_data3[[#This Row],[minimum_nights]]&lt;=7,"Medium Stay","Long Stay"))</f>
        <v>Short Stay</v>
      </c>
    </row>
    <row r="230" spans="1:19" x14ac:dyDescent="0.35">
      <c r="A230" t="s">
        <v>382</v>
      </c>
      <c r="B230" t="s">
        <v>383</v>
      </c>
      <c r="C230" t="s">
        <v>34</v>
      </c>
      <c r="D230">
        <v>42.664314400282102</v>
      </c>
      <c r="E230">
        <v>-73.816066542649693</v>
      </c>
      <c r="F230" t="s">
        <v>22</v>
      </c>
      <c r="G230">
        <v>118</v>
      </c>
      <c r="H230">
        <v>3</v>
      </c>
      <c r="I230">
        <v>3</v>
      </c>
      <c r="J230" s="1">
        <v>46094</v>
      </c>
      <c r="K230">
        <v>0.83</v>
      </c>
      <c r="L230">
        <v>1</v>
      </c>
      <c r="M230">
        <v>112</v>
      </c>
      <c r="N230">
        <v>3</v>
      </c>
      <c r="O230" t="str">
        <f t="shared" si="6"/>
        <v>101-200</v>
      </c>
      <c r="P230" t="str">
        <f>IF(airbnb_data3[[#This Row],[price]]&lt;=100,"Budget",
IF(airbnb_data3[[#This Row],[price]]&lt;=200,"Mid-range",
IF(airbnb_data3[[#This Row],[price]]&lt;=300,"Premium","Luxury")))</f>
        <v>Mid-range</v>
      </c>
      <c r="Q230" t="str">
        <f>IF(airbnb_data3[[#This Row],[availability_365]]&lt;=120,"Low Availability",IF(airbnb_data3[[#This Row],[availability_365]]&lt;=240,"Medium Availability","High Availability"))</f>
        <v>Low Availability</v>
      </c>
      <c r="R230" s="6" t="str">
        <f t="shared" si="7"/>
        <v>Medium</v>
      </c>
      <c r="S230" s="6" t="str">
        <f>IF(airbnb_data3[[#This Row],[minimum_nights]]&lt;=3,"Short Stay",IF(airbnb_data3[[#This Row],[minimum_nights]]&lt;=7,"Medium Stay","Long Stay"))</f>
        <v>Short Stay</v>
      </c>
    </row>
    <row r="231" spans="1:19" x14ac:dyDescent="0.35">
      <c r="A231" t="s">
        <v>384</v>
      </c>
      <c r="B231" t="s">
        <v>385</v>
      </c>
      <c r="C231" t="s">
        <v>25</v>
      </c>
      <c r="D231">
        <v>42.653480000000002</v>
      </c>
      <c r="E231">
        <v>-73.7637</v>
      </c>
      <c r="F231" t="s">
        <v>22</v>
      </c>
      <c r="G231">
        <v>195</v>
      </c>
      <c r="H231">
        <v>1</v>
      </c>
      <c r="I231">
        <v>30</v>
      </c>
      <c r="J231" s="1">
        <v>46151</v>
      </c>
      <c r="K231">
        <v>1.1200000000000001</v>
      </c>
      <c r="L231">
        <v>2</v>
      </c>
      <c r="M231">
        <v>266</v>
      </c>
      <c r="N231">
        <v>15</v>
      </c>
      <c r="O231" t="str">
        <f t="shared" si="6"/>
        <v>101-200</v>
      </c>
      <c r="P231" t="str">
        <f>IF(airbnb_data3[[#This Row],[price]]&lt;=100,"Budget",
IF(airbnb_data3[[#This Row],[price]]&lt;=200,"Mid-range",
IF(airbnb_data3[[#This Row],[price]]&lt;=300,"Premium","Luxury")))</f>
        <v>Mid-range</v>
      </c>
      <c r="Q231" t="str">
        <f>IF(airbnb_data3[[#This Row],[availability_365]]&lt;=120,"Low Availability",IF(airbnb_data3[[#This Row],[availability_365]]&lt;=240,"Medium Availability","High Availability"))</f>
        <v>High Availability</v>
      </c>
      <c r="R231" s="6" t="str">
        <f t="shared" si="7"/>
        <v>Medium</v>
      </c>
      <c r="S231" s="6" t="str">
        <f>IF(airbnb_data3[[#This Row],[minimum_nights]]&lt;=3,"Short Stay",IF(airbnb_data3[[#This Row],[minimum_nights]]&lt;=7,"Medium Stay","Long Stay"))</f>
        <v>Short Stay</v>
      </c>
    </row>
    <row r="232" spans="1:19" x14ac:dyDescent="0.35">
      <c r="A232" t="s">
        <v>386</v>
      </c>
      <c r="B232" t="s">
        <v>385</v>
      </c>
      <c r="C232" t="s">
        <v>25</v>
      </c>
      <c r="D232">
        <v>42.651940000000003</v>
      </c>
      <c r="E232">
        <v>-73.765259999999998</v>
      </c>
      <c r="F232" t="s">
        <v>22</v>
      </c>
      <c r="G232">
        <v>210</v>
      </c>
      <c r="H232">
        <v>1</v>
      </c>
      <c r="I232">
        <v>36</v>
      </c>
      <c r="J232" s="1">
        <v>46170</v>
      </c>
      <c r="K232">
        <v>1.34</v>
      </c>
      <c r="L232">
        <v>2</v>
      </c>
      <c r="M232">
        <v>266</v>
      </c>
      <c r="N232">
        <v>8</v>
      </c>
      <c r="O232" t="str">
        <f t="shared" si="6"/>
        <v>201-300</v>
      </c>
      <c r="P232" t="str">
        <f>IF(airbnb_data3[[#This Row],[price]]&lt;=100,"Budget",
IF(airbnb_data3[[#This Row],[price]]&lt;=200,"Mid-range",
IF(airbnb_data3[[#This Row],[price]]&lt;=300,"Premium","Luxury")))</f>
        <v>Premium</v>
      </c>
      <c r="Q232" t="str">
        <f>IF(airbnb_data3[[#This Row],[availability_365]]&lt;=120,"Low Availability",IF(airbnb_data3[[#This Row],[availability_365]]&lt;=240,"Medium Availability","High Availability"))</f>
        <v>High Availability</v>
      </c>
      <c r="R232" s="6" t="str">
        <f t="shared" si="7"/>
        <v>Medium</v>
      </c>
      <c r="S232" s="6" t="str">
        <f>IF(airbnb_data3[[#This Row],[minimum_nights]]&lt;=3,"Short Stay",IF(airbnb_data3[[#This Row],[minimum_nights]]&lt;=7,"Medium Stay","Long Stay"))</f>
        <v>Short Stay</v>
      </c>
    </row>
    <row r="233" spans="1:19" x14ac:dyDescent="0.35">
      <c r="A233" t="s">
        <v>387</v>
      </c>
      <c r="B233" t="s">
        <v>272</v>
      </c>
      <c r="C233" t="s">
        <v>25</v>
      </c>
      <c r="D233">
        <v>42.65314</v>
      </c>
      <c r="E233">
        <v>-73.765460000000004</v>
      </c>
      <c r="F233" t="s">
        <v>22</v>
      </c>
      <c r="G233">
        <v>314</v>
      </c>
      <c r="H233">
        <v>2</v>
      </c>
      <c r="I233">
        <v>6</v>
      </c>
      <c r="J233" s="1">
        <v>45706</v>
      </c>
      <c r="K233">
        <v>0.22</v>
      </c>
      <c r="L233">
        <v>2</v>
      </c>
      <c r="M233">
        <v>161</v>
      </c>
      <c r="N233">
        <v>0</v>
      </c>
      <c r="O233" t="str">
        <f t="shared" si="6"/>
        <v>301-500</v>
      </c>
      <c r="P233" t="str">
        <f>IF(airbnb_data3[[#This Row],[price]]&lt;=100,"Budget",
IF(airbnb_data3[[#This Row],[price]]&lt;=200,"Mid-range",
IF(airbnb_data3[[#This Row],[price]]&lt;=300,"Premium","Luxury")))</f>
        <v>Luxury</v>
      </c>
      <c r="Q233" t="str">
        <f>IF(airbnb_data3[[#This Row],[availability_365]]&lt;=120,"Low Availability",IF(airbnb_data3[[#This Row],[availability_365]]&lt;=240,"Medium Availability","High Availability"))</f>
        <v>Medium Availability</v>
      </c>
      <c r="R233" s="6" t="str">
        <f t="shared" si="7"/>
        <v>Medium</v>
      </c>
      <c r="S233" s="6" t="str">
        <f>IF(airbnb_data3[[#This Row],[minimum_nights]]&lt;=3,"Short Stay",IF(airbnb_data3[[#This Row],[minimum_nights]]&lt;=7,"Medium Stay","Long Stay"))</f>
        <v>Short Stay</v>
      </c>
    </row>
    <row r="234" spans="1:19" x14ac:dyDescent="0.35">
      <c r="A234" t="s">
        <v>388</v>
      </c>
      <c r="B234" t="s">
        <v>389</v>
      </c>
      <c r="C234" t="s">
        <v>37</v>
      </c>
      <c r="D234">
        <v>42.66901</v>
      </c>
      <c r="E234">
        <v>-73.824020000000004</v>
      </c>
      <c r="F234" t="s">
        <v>22</v>
      </c>
      <c r="G234">
        <v>219</v>
      </c>
      <c r="H234">
        <v>2</v>
      </c>
      <c r="I234">
        <v>89</v>
      </c>
      <c r="J234" s="1">
        <v>46168</v>
      </c>
      <c r="K234">
        <v>3.38</v>
      </c>
      <c r="L234">
        <v>3</v>
      </c>
      <c r="M234">
        <v>293</v>
      </c>
      <c r="N234">
        <v>39</v>
      </c>
      <c r="O234" t="str">
        <f t="shared" si="6"/>
        <v>201-300</v>
      </c>
      <c r="P234" t="str">
        <f>IF(airbnb_data3[[#This Row],[price]]&lt;=100,"Budget",
IF(airbnb_data3[[#This Row],[price]]&lt;=200,"Mid-range",
IF(airbnb_data3[[#This Row],[price]]&lt;=300,"Premium","Luxury")))</f>
        <v>Premium</v>
      </c>
      <c r="Q234" t="str">
        <f>IF(airbnb_data3[[#This Row],[availability_365]]&lt;=120,"Low Availability",IF(airbnb_data3[[#This Row],[availability_365]]&lt;=240,"Medium Availability","High Availability"))</f>
        <v>High Availability</v>
      </c>
      <c r="R234" s="6" t="str">
        <f t="shared" si="7"/>
        <v>Medium</v>
      </c>
      <c r="S234" s="6" t="str">
        <f>IF(airbnb_data3[[#This Row],[minimum_nights]]&lt;=3,"Short Stay",IF(airbnb_data3[[#This Row],[minimum_nights]]&lt;=7,"Medium Stay","Long Stay"))</f>
        <v>Short Stay</v>
      </c>
    </row>
    <row r="235" spans="1:19" x14ac:dyDescent="0.35">
      <c r="A235" t="s">
        <v>390</v>
      </c>
      <c r="B235" t="s">
        <v>391</v>
      </c>
      <c r="C235" t="s">
        <v>28</v>
      </c>
      <c r="D235">
        <v>42.646031999999998</v>
      </c>
      <c r="E235">
        <v>-73.760481999999996</v>
      </c>
      <c r="F235" t="s">
        <v>22</v>
      </c>
      <c r="G235">
        <v>116</v>
      </c>
      <c r="H235">
        <v>3</v>
      </c>
      <c r="I235">
        <v>7</v>
      </c>
      <c r="J235" s="1">
        <v>46151</v>
      </c>
      <c r="K235">
        <v>0.28000000000000003</v>
      </c>
      <c r="L235">
        <v>2</v>
      </c>
      <c r="M235">
        <v>216</v>
      </c>
      <c r="N235">
        <v>3</v>
      </c>
      <c r="O235" t="str">
        <f t="shared" si="6"/>
        <v>101-200</v>
      </c>
      <c r="P235" t="str">
        <f>IF(airbnb_data3[[#This Row],[price]]&lt;=100,"Budget",
IF(airbnb_data3[[#This Row],[price]]&lt;=200,"Mid-range",
IF(airbnb_data3[[#This Row],[price]]&lt;=300,"Premium","Luxury")))</f>
        <v>Mid-range</v>
      </c>
      <c r="Q235" t="str">
        <f>IF(airbnb_data3[[#This Row],[availability_365]]&lt;=120,"Low Availability",IF(airbnb_data3[[#This Row],[availability_365]]&lt;=240,"Medium Availability","High Availability"))</f>
        <v>Medium Availability</v>
      </c>
      <c r="R235" s="6" t="str">
        <f t="shared" si="7"/>
        <v>Medium</v>
      </c>
      <c r="S235" s="6" t="str">
        <f>IF(airbnb_data3[[#This Row],[minimum_nights]]&lt;=3,"Short Stay",IF(airbnb_data3[[#This Row],[minimum_nights]]&lt;=7,"Medium Stay","Long Stay"))</f>
        <v>Short Stay</v>
      </c>
    </row>
    <row r="236" spans="1:19" x14ac:dyDescent="0.35">
      <c r="A236" t="s">
        <v>392</v>
      </c>
      <c r="B236" t="s">
        <v>391</v>
      </c>
      <c r="C236" t="s">
        <v>28</v>
      </c>
      <c r="D236">
        <v>42.646031999999998</v>
      </c>
      <c r="E236">
        <v>-73.760481999999996</v>
      </c>
      <c r="F236" t="s">
        <v>22</v>
      </c>
      <c r="G236">
        <v>137</v>
      </c>
      <c r="H236">
        <v>5</v>
      </c>
      <c r="I236">
        <v>8</v>
      </c>
      <c r="J236" s="1">
        <v>46079</v>
      </c>
      <c r="K236">
        <v>0.3</v>
      </c>
      <c r="L236">
        <v>2</v>
      </c>
      <c r="M236">
        <v>83</v>
      </c>
      <c r="N236">
        <v>3</v>
      </c>
      <c r="O236" t="str">
        <f t="shared" si="6"/>
        <v>101-200</v>
      </c>
      <c r="P236" t="str">
        <f>IF(airbnb_data3[[#This Row],[price]]&lt;=100,"Budget",
IF(airbnb_data3[[#This Row],[price]]&lt;=200,"Mid-range",
IF(airbnb_data3[[#This Row],[price]]&lt;=300,"Premium","Luxury")))</f>
        <v>Mid-range</v>
      </c>
      <c r="Q236" t="str">
        <f>IF(airbnb_data3[[#This Row],[availability_365]]&lt;=120,"Low Availability",IF(airbnb_data3[[#This Row],[availability_365]]&lt;=240,"Medium Availability","High Availability"))</f>
        <v>Low Availability</v>
      </c>
      <c r="R236" s="6" t="str">
        <f t="shared" si="7"/>
        <v>High</v>
      </c>
      <c r="S236" s="6" t="str">
        <f>IF(airbnb_data3[[#This Row],[minimum_nights]]&lt;=3,"Short Stay",IF(airbnb_data3[[#This Row],[minimum_nights]]&lt;=7,"Medium Stay","Long Stay"))</f>
        <v>Medium Stay</v>
      </c>
    </row>
    <row r="237" spans="1:19" x14ac:dyDescent="0.35">
      <c r="A237" t="s">
        <v>393</v>
      </c>
      <c r="B237" t="s">
        <v>394</v>
      </c>
      <c r="C237" t="s">
        <v>64</v>
      </c>
      <c r="D237">
        <v>42.64893</v>
      </c>
      <c r="E237">
        <v>-73.768860000000004</v>
      </c>
      <c r="F237" t="s">
        <v>22</v>
      </c>
      <c r="G237">
        <v>86</v>
      </c>
      <c r="H237">
        <v>25</v>
      </c>
      <c r="I237">
        <v>2</v>
      </c>
      <c r="J237" s="1">
        <v>45507</v>
      </c>
      <c r="K237">
        <v>0.08</v>
      </c>
      <c r="L237">
        <v>2</v>
      </c>
      <c r="M237">
        <v>210</v>
      </c>
      <c r="N237">
        <v>0</v>
      </c>
      <c r="O237" t="str">
        <f t="shared" si="6"/>
        <v>0-100</v>
      </c>
      <c r="P237" t="str">
        <f>IF(airbnb_data3[[#This Row],[price]]&lt;=100,"Budget",
IF(airbnb_data3[[#This Row],[price]]&lt;=200,"Mid-range",
IF(airbnb_data3[[#This Row],[price]]&lt;=300,"Premium","Luxury")))</f>
        <v>Budget</v>
      </c>
      <c r="Q237" t="str">
        <f>IF(airbnb_data3[[#This Row],[availability_365]]&lt;=120,"Low Availability",IF(airbnb_data3[[#This Row],[availability_365]]&lt;=240,"Medium Availability","High Availability"))</f>
        <v>Medium Availability</v>
      </c>
      <c r="R237" s="6" t="str">
        <f t="shared" si="7"/>
        <v>Medium</v>
      </c>
      <c r="S237" s="6" t="str">
        <f>IF(airbnb_data3[[#This Row],[minimum_nights]]&lt;=3,"Short Stay",IF(airbnb_data3[[#This Row],[minimum_nights]]&lt;=7,"Medium Stay","Long Stay"))</f>
        <v>Long Stay</v>
      </c>
    </row>
    <row r="238" spans="1:19" x14ac:dyDescent="0.35">
      <c r="A238" t="s">
        <v>395</v>
      </c>
      <c r="B238" t="s">
        <v>396</v>
      </c>
      <c r="C238" t="s">
        <v>37</v>
      </c>
      <c r="D238">
        <v>42.674853495878402</v>
      </c>
      <c r="E238">
        <v>-73.816924450926194</v>
      </c>
      <c r="F238" t="s">
        <v>22</v>
      </c>
      <c r="G238">
        <v>206</v>
      </c>
      <c r="H238">
        <v>1</v>
      </c>
      <c r="I238">
        <v>122</v>
      </c>
      <c r="J238" s="1">
        <v>46186</v>
      </c>
      <c r="K238">
        <v>5.41</v>
      </c>
      <c r="L238">
        <v>1</v>
      </c>
      <c r="M238">
        <v>328</v>
      </c>
      <c r="N238">
        <v>71</v>
      </c>
      <c r="O238" t="str">
        <f t="shared" si="6"/>
        <v>201-300</v>
      </c>
      <c r="P238" t="str">
        <f>IF(airbnb_data3[[#This Row],[price]]&lt;=100,"Budget",
IF(airbnb_data3[[#This Row],[price]]&lt;=200,"Mid-range",
IF(airbnb_data3[[#This Row],[price]]&lt;=300,"Premium","Luxury")))</f>
        <v>Premium</v>
      </c>
      <c r="Q238" t="str">
        <f>IF(airbnb_data3[[#This Row],[availability_365]]&lt;=120,"Low Availability",IF(airbnb_data3[[#This Row],[availability_365]]&lt;=240,"Medium Availability","High Availability"))</f>
        <v>High Availability</v>
      </c>
      <c r="R238" s="6" t="str">
        <f t="shared" si="7"/>
        <v>Medium</v>
      </c>
      <c r="S238" s="6" t="str">
        <f>IF(airbnb_data3[[#This Row],[minimum_nights]]&lt;=3,"Short Stay",IF(airbnb_data3[[#This Row],[minimum_nights]]&lt;=7,"Medium Stay","Long Stay"))</f>
        <v>Short Stay</v>
      </c>
    </row>
    <row r="239" spans="1:19" x14ac:dyDescent="0.35">
      <c r="A239" t="s">
        <v>397</v>
      </c>
      <c r="B239" t="s">
        <v>299</v>
      </c>
      <c r="C239" t="s">
        <v>21</v>
      </c>
      <c r="D239">
        <v>42.659089999999999</v>
      </c>
      <c r="E239">
        <v>-73.756910000000005</v>
      </c>
      <c r="F239" t="s">
        <v>22</v>
      </c>
      <c r="G239">
        <v>90</v>
      </c>
      <c r="H239">
        <v>14</v>
      </c>
      <c r="I239">
        <v>2</v>
      </c>
      <c r="J239" s="1">
        <v>45792</v>
      </c>
      <c r="K239">
        <v>0.08</v>
      </c>
      <c r="L239">
        <v>4</v>
      </c>
      <c r="M239">
        <v>268</v>
      </c>
      <c r="N239">
        <v>0</v>
      </c>
      <c r="O239" t="str">
        <f t="shared" si="6"/>
        <v>0-100</v>
      </c>
      <c r="P239" t="str">
        <f>IF(airbnb_data3[[#This Row],[price]]&lt;=100,"Budget",
IF(airbnb_data3[[#This Row],[price]]&lt;=200,"Mid-range",
IF(airbnb_data3[[#This Row],[price]]&lt;=300,"Premium","Luxury")))</f>
        <v>Budget</v>
      </c>
      <c r="Q239" t="str">
        <f>IF(airbnb_data3[[#This Row],[availability_365]]&lt;=120,"Low Availability",IF(airbnb_data3[[#This Row],[availability_365]]&lt;=240,"Medium Availability","High Availability"))</f>
        <v>High Availability</v>
      </c>
      <c r="R239" s="6" t="str">
        <f t="shared" si="7"/>
        <v>Medium</v>
      </c>
      <c r="S239" s="6" t="str">
        <f>IF(airbnb_data3[[#This Row],[minimum_nights]]&lt;=3,"Short Stay",IF(airbnb_data3[[#This Row],[minimum_nights]]&lt;=7,"Medium Stay","Long Stay"))</f>
        <v>Long Stay</v>
      </c>
    </row>
    <row r="240" spans="1:19" x14ac:dyDescent="0.35">
      <c r="A240" t="s">
        <v>398</v>
      </c>
      <c r="B240" t="s">
        <v>399</v>
      </c>
      <c r="C240" t="s">
        <v>68</v>
      </c>
      <c r="D240">
        <v>42.668961400000001</v>
      </c>
      <c r="E240">
        <v>-73.789037899999997</v>
      </c>
      <c r="F240" t="s">
        <v>31</v>
      </c>
      <c r="G240">
        <v>46</v>
      </c>
      <c r="H240">
        <v>28</v>
      </c>
      <c r="I240">
        <v>0</v>
      </c>
      <c r="K240">
        <v>0</v>
      </c>
      <c r="L240">
        <v>6</v>
      </c>
      <c r="M240">
        <v>235</v>
      </c>
      <c r="N240">
        <v>0</v>
      </c>
      <c r="O240" t="str">
        <f t="shared" si="6"/>
        <v>0-100</v>
      </c>
      <c r="P240" t="str">
        <f>IF(airbnb_data3[[#This Row],[price]]&lt;=100,"Budget",
IF(airbnb_data3[[#This Row],[price]]&lt;=200,"Mid-range",
IF(airbnb_data3[[#This Row],[price]]&lt;=300,"Premium","Luxury")))</f>
        <v>Budget</v>
      </c>
      <c r="Q240" t="str">
        <f>IF(airbnb_data3[[#This Row],[availability_365]]&lt;=120,"Low Availability",IF(airbnb_data3[[#This Row],[availability_365]]&lt;=240,"Medium Availability","High Availability"))</f>
        <v>Medium Availability</v>
      </c>
      <c r="R240" s="6" t="str">
        <f t="shared" si="7"/>
        <v>Medium</v>
      </c>
      <c r="S240" s="6" t="str">
        <f>IF(airbnb_data3[[#This Row],[minimum_nights]]&lt;=3,"Short Stay",IF(airbnb_data3[[#This Row],[minimum_nights]]&lt;=7,"Medium Stay","Long Stay"))</f>
        <v>Long Stay</v>
      </c>
    </row>
    <row r="241" spans="1:19" x14ac:dyDescent="0.35">
      <c r="A241" t="s">
        <v>400</v>
      </c>
      <c r="B241" t="s">
        <v>122</v>
      </c>
      <c r="C241" t="s">
        <v>68</v>
      </c>
      <c r="D241">
        <v>42.663679999999999</v>
      </c>
      <c r="E241">
        <v>-73.781279999999995</v>
      </c>
      <c r="F241" t="s">
        <v>31</v>
      </c>
      <c r="G241">
        <v>78</v>
      </c>
      <c r="H241">
        <v>6</v>
      </c>
      <c r="I241">
        <v>0</v>
      </c>
      <c r="K241">
        <v>0</v>
      </c>
      <c r="L241">
        <v>21</v>
      </c>
      <c r="M241">
        <v>364</v>
      </c>
      <c r="N241">
        <v>0</v>
      </c>
      <c r="O241" t="str">
        <f t="shared" si="6"/>
        <v>0-100</v>
      </c>
      <c r="P241" t="str">
        <f>IF(airbnb_data3[[#This Row],[price]]&lt;=100,"Budget",
IF(airbnb_data3[[#This Row],[price]]&lt;=200,"Mid-range",
IF(airbnb_data3[[#This Row],[price]]&lt;=300,"Premium","Luxury")))</f>
        <v>Budget</v>
      </c>
      <c r="Q241" t="str">
        <f>IF(airbnb_data3[[#This Row],[availability_365]]&lt;=120,"Low Availability",IF(airbnb_data3[[#This Row],[availability_365]]&lt;=240,"Medium Availability","High Availability"))</f>
        <v>High Availability</v>
      </c>
      <c r="R241" s="6" t="str">
        <f t="shared" si="7"/>
        <v>Medium</v>
      </c>
      <c r="S241" s="6" t="str">
        <f>IF(airbnb_data3[[#This Row],[minimum_nights]]&lt;=3,"Short Stay",IF(airbnb_data3[[#This Row],[minimum_nights]]&lt;=7,"Medium Stay","Long Stay"))</f>
        <v>Medium Stay</v>
      </c>
    </row>
    <row r="242" spans="1:19" x14ac:dyDescent="0.35">
      <c r="A242" t="s">
        <v>401</v>
      </c>
      <c r="B242" t="s">
        <v>399</v>
      </c>
      <c r="C242" t="s">
        <v>68</v>
      </c>
      <c r="D242">
        <v>42.668961400000001</v>
      </c>
      <c r="E242">
        <v>-73.789037899999997</v>
      </c>
      <c r="F242" t="s">
        <v>31</v>
      </c>
      <c r="G242">
        <v>38</v>
      </c>
      <c r="H242">
        <v>28</v>
      </c>
      <c r="I242">
        <v>2</v>
      </c>
      <c r="J242" s="1">
        <v>45940</v>
      </c>
      <c r="K242">
        <v>0.19</v>
      </c>
      <c r="L242">
        <v>6</v>
      </c>
      <c r="M242">
        <v>236</v>
      </c>
      <c r="N242">
        <v>2</v>
      </c>
      <c r="O242" t="str">
        <f t="shared" si="6"/>
        <v>0-100</v>
      </c>
      <c r="P242" t="str">
        <f>IF(airbnb_data3[[#This Row],[price]]&lt;=100,"Budget",
IF(airbnb_data3[[#This Row],[price]]&lt;=200,"Mid-range",
IF(airbnb_data3[[#This Row],[price]]&lt;=300,"Premium","Luxury")))</f>
        <v>Budget</v>
      </c>
      <c r="Q242" t="str">
        <f>IF(airbnb_data3[[#This Row],[availability_365]]&lt;=120,"Low Availability",IF(airbnb_data3[[#This Row],[availability_365]]&lt;=240,"Medium Availability","High Availability"))</f>
        <v>Medium Availability</v>
      </c>
      <c r="R242" s="6" t="str">
        <f t="shared" si="7"/>
        <v>High</v>
      </c>
      <c r="S242" s="6" t="str">
        <f>IF(airbnb_data3[[#This Row],[minimum_nights]]&lt;=3,"Short Stay",IF(airbnb_data3[[#This Row],[minimum_nights]]&lt;=7,"Medium Stay","Long Stay"))</f>
        <v>Long Stay</v>
      </c>
    </row>
    <row r="243" spans="1:19" x14ac:dyDescent="0.35">
      <c r="A243" t="s">
        <v>404</v>
      </c>
      <c r="B243" t="s">
        <v>405</v>
      </c>
      <c r="C243" t="s">
        <v>68</v>
      </c>
      <c r="D243">
        <v>42.671050000000001</v>
      </c>
      <c r="E243">
        <v>-73.799499999999995</v>
      </c>
      <c r="F243" t="s">
        <v>22</v>
      </c>
      <c r="G243">
        <v>182</v>
      </c>
      <c r="H243">
        <v>2</v>
      </c>
      <c r="I243">
        <v>11</v>
      </c>
      <c r="J243" s="1">
        <v>46167</v>
      </c>
      <c r="K243">
        <v>0.44</v>
      </c>
      <c r="L243">
        <v>1</v>
      </c>
      <c r="M243">
        <v>297</v>
      </c>
      <c r="N243">
        <v>5</v>
      </c>
      <c r="O243" t="str">
        <f t="shared" si="6"/>
        <v>101-200</v>
      </c>
      <c r="P243" t="str">
        <f>IF(airbnb_data3[[#This Row],[price]]&lt;=100,"Budget",
IF(airbnb_data3[[#This Row],[price]]&lt;=200,"Mid-range",
IF(airbnb_data3[[#This Row],[price]]&lt;=300,"Premium","Luxury")))</f>
        <v>Mid-range</v>
      </c>
      <c r="Q243" t="str">
        <f>IF(airbnb_data3[[#This Row],[availability_365]]&lt;=120,"Low Availability",IF(airbnb_data3[[#This Row],[availability_365]]&lt;=240,"Medium Availability","High Availability"))</f>
        <v>High Availability</v>
      </c>
      <c r="R243" s="6" t="str">
        <f t="shared" si="7"/>
        <v>High</v>
      </c>
      <c r="S243" s="6" t="str">
        <f>IF(airbnb_data3[[#This Row],[minimum_nights]]&lt;=3,"Short Stay",IF(airbnb_data3[[#This Row],[minimum_nights]]&lt;=7,"Medium Stay","Long Stay"))</f>
        <v>Short Stay</v>
      </c>
    </row>
    <row r="244" spans="1:19" x14ac:dyDescent="0.35">
      <c r="A244" t="s">
        <v>406</v>
      </c>
      <c r="B244" t="s">
        <v>359</v>
      </c>
      <c r="C244" t="s">
        <v>25</v>
      </c>
      <c r="D244">
        <v>42.6524924</v>
      </c>
      <c r="E244">
        <v>-73.767436099999998</v>
      </c>
      <c r="F244" t="s">
        <v>22</v>
      </c>
      <c r="G244">
        <v>157</v>
      </c>
      <c r="H244">
        <v>1</v>
      </c>
      <c r="I244">
        <v>119</v>
      </c>
      <c r="J244" s="1">
        <v>46159</v>
      </c>
      <c r="K244">
        <v>4.63</v>
      </c>
      <c r="L244">
        <v>8</v>
      </c>
      <c r="M244">
        <v>199</v>
      </c>
      <c r="N244">
        <v>60</v>
      </c>
      <c r="O244" t="str">
        <f t="shared" si="6"/>
        <v>101-200</v>
      </c>
      <c r="P244" t="str">
        <f>IF(airbnb_data3[[#This Row],[price]]&lt;=100,"Budget",
IF(airbnb_data3[[#This Row],[price]]&lt;=200,"Mid-range",
IF(airbnb_data3[[#This Row],[price]]&lt;=300,"Premium","Luxury")))</f>
        <v>Mid-range</v>
      </c>
      <c r="Q244" t="str">
        <f>IF(airbnb_data3[[#This Row],[availability_365]]&lt;=120,"Low Availability",IF(airbnb_data3[[#This Row],[availability_365]]&lt;=240,"Medium Availability","High Availability"))</f>
        <v>Medium Availability</v>
      </c>
      <c r="R244" s="6" t="str">
        <f t="shared" si="7"/>
        <v>Medium</v>
      </c>
      <c r="S244" s="6" t="str">
        <f>IF(airbnb_data3[[#This Row],[minimum_nights]]&lt;=3,"Short Stay",IF(airbnb_data3[[#This Row],[minimum_nights]]&lt;=7,"Medium Stay","Long Stay"))</f>
        <v>Short Stay</v>
      </c>
    </row>
    <row r="245" spans="1:19" x14ac:dyDescent="0.35">
      <c r="A245" t="s">
        <v>407</v>
      </c>
      <c r="B245" t="s">
        <v>359</v>
      </c>
      <c r="C245" t="s">
        <v>25</v>
      </c>
      <c r="D245">
        <v>42.652740000000001</v>
      </c>
      <c r="E245">
        <v>-73.767790000000005</v>
      </c>
      <c r="F245" t="s">
        <v>22</v>
      </c>
      <c r="G245">
        <v>128</v>
      </c>
      <c r="H245">
        <v>2</v>
      </c>
      <c r="I245">
        <v>102</v>
      </c>
      <c r="J245" s="1">
        <v>46167</v>
      </c>
      <c r="K245">
        <v>3.95</v>
      </c>
      <c r="L245">
        <v>8</v>
      </c>
      <c r="M245">
        <v>112</v>
      </c>
      <c r="N245">
        <v>30</v>
      </c>
      <c r="O245" t="str">
        <f t="shared" si="6"/>
        <v>101-200</v>
      </c>
      <c r="P245" t="str">
        <f>IF(airbnb_data3[[#This Row],[price]]&lt;=100,"Budget",
IF(airbnb_data3[[#This Row],[price]]&lt;=200,"Mid-range",
IF(airbnb_data3[[#This Row],[price]]&lt;=300,"Premium","Luxury")))</f>
        <v>Mid-range</v>
      </c>
      <c r="Q245" t="str">
        <f>IF(airbnb_data3[[#This Row],[availability_365]]&lt;=120,"Low Availability",IF(airbnb_data3[[#This Row],[availability_365]]&lt;=240,"Medium Availability","High Availability"))</f>
        <v>Low Availability</v>
      </c>
      <c r="R245" s="6" t="str">
        <f t="shared" si="7"/>
        <v>Medium</v>
      </c>
      <c r="S245" s="6" t="str">
        <f>IF(airbnb_data3[[#This Row],[minimum_nights]]&lt;=3,"Short Stay",IF(airbnb_data3[[#This Row],[minimum_nights]]&lt;=7,"Medium Stay","Long Stay"))</f>
        <v>Short Stay</v>
      </c>
    </row>
    <row r="246" spans="1:19" x14ac:dyDescent="0.35">
      <c r="A246" t="s">
        <v>408</v>
      </c>
      <c r="B246" t="s">
        <v>409</v>
      </c>
      <c r="C246" t="s">
        <v>25</v>
      </c>
      <c r="D246">
        <v>42.6586049</v>
      </c>
      <c r="E246">
        <v>-73.768032899999994</v>
      </c>
      <c r="F246" t="s">
        <v>22</v>
      </c>
      <c r="G246">
        <v>164</v>
      </c>
      <c r="H246">
        <v>2</v>
      </c>
      <c r="I246">
        <v>19</v>
      </c>
      <c r="J246" s="1">
        <v>46079</v>
      </c>
      <c r="K246">
        <v>0.75</v>
      </c>
      <c r="L246">
        <v>1</v>
      </c>
      <c r="M246">
        <v>227</v>
      </c>
      <c r="N246">
        <v>8</v>
      </c>
      <c r="O246" t="str">
        <f t="shared" si="6"/>
        <v>101-200</v>
      </c>
      <c r="P246" t="str">
        <f>IF(airbnb_data3[[#This Row],[price]]&lt;=100,"Budget",
IF(airbnb_data3[[#This Row],[price]]&lt;=200,"Mid-range",
IF(airbnb_data3[[#This Row],[price]]&lt;=300,"Premium","Luxury")))</f>
        <v>Mid-range</v>
      </c>
      <c r="Q246" t="str">
        <f>IF(airbnb_data3[[#This Row],[availability_365]]&lt;=120,"Low Availability",IF(airbnb_data3[[#This Row],[availability_365]]&lt;=240,"Medium Availability","High Availability"))</f>
        <v>Medium Availability</v>
      </c>
      <c r="R246" s="6" t="str">
        <f t="shared" si="7"/>
        <v>Medium</v>
      </c>
      <c r="S246" s="6" t="str">
        <f>IF(airbnb_data3[[#This Row],[minimum_nights]]&lt;=3,"Short Stay",IF(airbnb_data3[[#This Row],[minimum_nights]]&lt;=7,"Medium Stay","Long Stay"))</f>
        <v>Short Stay</v>
      </c>
    </row>
    <row r="247" spans="1:19" x14ac:dyDescent="0.35">
      <c r="A247" t="s">
        <v>410</v>
      </c>
      <c r="B247" t="s">
        <v>122</v>
      </c>
      <c r="C247" t="s">
        <v>47</v>
      </c>
      <c r="D247">
        <v>42.664279999999998</v>
      </c>
      <c r="E247">
        <v>-73.792490000000001</v>
      </c>
      <c r="F247" t="s">
        <v>31</v>
      </c>
      <c r="G247">
        <v>72</v>
      </c>
      <c r="H247">
        <v>28</v>
      </c>
      <c r="I247">
        <v>2</v>
      </c>
      <c r="J247" s="1">
        <v>45625</v>
      </c>
      <c r="K247">
        <v>0.09</v>
      </c>
      <c r="L247">
        <v>21</v>
      </c>
      <c r="M247">
        <v>269</v>
      </c>
      <c r="N247">
        <v>0</v>
      </c>
      <c r="O247" t="str">
        <f t="shared" si="6"/>
        <v>0-100</v>
      </c>
      <c r="P247" t="str">
        <f>IF(airbnb_data3[[#This Row],[price]]&lt;=100,"Budget",
IF(airbnb_data3[[#This Row],[price]]&lt;=200,"Mid-range",
IF(airbnb_data3[[#This Row],[price]]&lt;=300,"Premium","Luxury")))</f>
        <v>Budget</v>
      </c>
      <c r="Q247" t="str">
        <f>IF(airbnb_data3[[#This Row],[availability_365]]&lt;=120,"Low Availability",IF(airbnb_data3[[#This Row],[availability_365]]&lt;=240,"Medium Availability","High Availability"))</f>
        <v>High Availability</v>
      </c>
      <c r="R247" s="6" t="str">
        <f t="shared" si="7"/>
        <v>Medium</v>
      </c>
      <c r="S247" s="6" t="str">
        <f>IF(airbnb_data3[[#This Row],[minimum_nights]]&lt;=3,"Short Stay",IF(airbnb_data3[[#This Row],[minimum_nights]]&lt;=7,"Medium Stay","Long Stay"))</f>
        <v>Long Stay</v>
      </c>
    </row>
    <row r="248" spans="1:19" x14ac:dyDescent="0.35">
      <c r="A248" t="s">
        <v>411</v>
      </c>
      <c r="B248" t="s">
        <v>394</v>
      </c>
      <c r="C248" t="s">
        <v>21</v>
      </c>
      <c r="D248">
        <v>42.658450000000002</v>
      </c>
      <c r="E248">
        <v>-73.759259999999998</v>
      </c>
      <c r="F248" t="s">
        <v>22</v>
      </c>
      <c r="G248">
        <v>108</v>
      </c>
      <c r="H248">
        <v>30</v>
      </c>
      <c r="I248">
        <v>0</v>
      </c>
      <c r="K248">
        <v>0</v>
      </c>
      <c r="L248">
        <v>2</v>
      </c>
      <c r="M248">
        <v>269</v>
      </c>
      <c r="N248">
        <v>0</v>
      </c>
      <c r="O248" t="str">
        <f t="shared" si="6"/>
        <v>101-200</v>
      </c>
      <c r="P248" t="str">
        <f>IF(airbnb_data3[[#This Row],[price]]&lt;=100,"Budget",
IF(airbnb_data3[[#This Row],[price]]&lt;=200,"Mid-range",
IF(airbnb_data3[[#This Row],[price]]&lt;=300,"Premium","Luxury")))</f>
        <v>Mid-range</v>
      </c>
      <c r="Q248" t="str">
        <f>IF(airbnb_data3[[#This Row],[availability_365]]&lt;=120,"Low Availability",IF(airbnb_data3[[#This Row],[availability_365]]&lt;=240,"Medium Availability","High Availability"))</f>
        <v>High Availability</v>
      </c>
      <c r="R248" s="6" t="str">
        <f t="shared" si="7"/>
        <v>Medium</v>
      </c>
      <c r="S248" s="6" t="str">
        <f>IF(airbnb_data3[[#This Row],[minimum_nights]]&lt;=3,"Short Stay",IF(airbnb_data3[[#This Row],[minimum_nights]]&lt;=7,"Medium Stay","Long Stay"))</f>
        <v>Long Stay</v>
      </c>
    </row>
    <row r="249" spans="1:19" x14ac:dyDescent="0.35">
      <c r="A249" t="s">
        <v>412</v>
      </c>
      <c r="B249" t="s">
        <v>132</v>
      </c>
      <c r="C249" t="s">
        <v>64</v>
      </c>
      <c r="D249">
        <v>42.647269999999999</v>
      </c>
      <c r="E249">
        <v>-73.767579999999995</v>
      </c>
      <c r="F249" t="s">
        <v>22</v>
      </c>
      <c r="G249">
        <v>216</v>
      </c>
      <c r="H249">
        <v>1</v>
      </c>
      <c r="I249">
        <v>16</v>
      </c>
      <c r="J249" s="1">
        <v>46067</v>
      </c>
      <c r="K249">
        <v>0.67</v>
      </c>
      <c r="L249">
        <v>16</v>
      </c>
      <c r="M249">
        <v>309</v>
      </c>
      <c r="N249">
        <v>2</v>
      </c>
      <c r="O249" t="str">
        <f t="shared" si="6"/>
        <v>201-300</v>
      </c>
      <c r="P249" t="str">
        <f>IF(airbnb_data3[[#This Row],[price]]&lt;=100,"Budget",
IF(airbnb_data3[[#This Row],[price]]&lt;=200,"Mid-range",
IF(airbnb_data3[[#This Row],[price]]&lt;=300,"Premium","Luxury")))</f>
        <v>Premium</v>
      </c>
      <c r="Q249" t="str">
        <f>IF(airbnb_data3[[#This Row],[availability_365]]&lt;=120,"Low Availability",IF(airbnb_data3[[#This Row],[availability_365]]&lt;=240,"Medium Availability","High Availability"))</f>
        <v>High Availability</v>
      </c>
      <c r="R249" s="6" t="str">
        <f t="shared" si="7"/>
        <v>Medium</v>
      </c>
      <c r="S249" s="6" t="str">
        <f>IF(airbnb_data3[[#This Row],[minimum_nights]]&lt;=3,"Short Stay",IF(airbnb_data3[[#This Row],[minimum_nights]]&lt;=7,"Medium Stay","Long Stay"))</f>
        <v>Short Stay</v>
      </c>
    </row>
    <row r="250" spans="1:19" x14ac:dyDescent="0.35">
      <c r="A250" t="s">
        <v>413</v>
      </c>
      <c r="B250" t="s">
        <v>95</v>
      </c>
      <c r="C250" t="s">
        <v>25</v>
      </c>
      <c r="D250">
        <v>42.65314</v>
      </c>
      <c r="E250">
        <v>-73.765299999999996</v>
      </c>
      <c r="F250" t="s">
        <v>22</v>
      </c>
      <c r="G250">
        <v>235</v>
      </c>
      <c r="H250">
        <v>2</v>
      </c>
      <c r="I250">
        <v>79</v>
      </c>
      <c r="J250" s="1">
        <v>46155</v>
      </c>
      <c r="K250">
        <v>3.21</v>
      </c>
      <c r="L250">
        <v>14</v>
      </c>
      <c r="M250">
        <v>93</v>
      </c>
      <c r="N250">
        <v>29</v>
      </c>
      <c r="O250" t="str">
        <f t="shared" si="6"/>
        <v>201-300</v>
      </c>
      <c r="P250" t="str">
        <f>IF(airbnb_data3[[#This Row],[price]]&lt;=100,"Budget",
IF(airbnb_data3[[#This Row],[price]]&lt;=200,"Mid-range",
IF(airbnb_data3[[#This Row],[price]]&lt;=300,"Premium","Luxury")))</f>
        <v>Premium</v>
      </c>
      <c r="Q250" t="str">
        <f>IF(airbnb_data3[[#This Row],[availability_365]]&lt;=120,"Low Availability",IF(airbnb_data3[[#This Row],[availability_365]]&lt;=240,"Medium Availability","High Availability"))</f>
        <v>Low Availability</v>
      </c>
      <c r="R250" s="6" t="str">
        <f t="shared" si="7"/>
        <v>Medium</v>
      </c>
      <c r="S250" s="6" t="str">
        <f>IF(airbnb_data3[[#This Row],[minimum_nights]]&lt;=3,"Short Stay",IF(airbnb_data3[[#This Row],[minimum_nights]]&lt;=7,"Medium Stay","Long Stay"))</f>
        <v>Short Stay</v>
      </c>
    </row>
    <row r="251" spans="1:19" x14ac:dyDescent="0.35">
      <c r="A251" t="s">
        <v>414</v>
      </c>
      <c r="B251" t="s">
        <v>95</v>
      </c>
      <c r="C251" t="s">
        <v>64</v>
      </c>
      <c r="D251">
        <v>42.644419999999997</v>
      </c>
      <c r="E251">
        <v>-73.779380000000003</v>
      </c>
      <c r="F251" t="s">
        <v>22</v>
      </c>
      <c r="G251">
        <v>400</v>
      </c>
      <c r="H251">
        <v>2</v>
      </c>
      <c r="I251">
        <v>32</v>
      </c>
      <c r="J251" s="1">
        <v>46159</v>
      </c>
      <c r="K251">
        <v>1.38</v>
      </c>
      <c r="L251">
        <v>14</v>
      </c>
      <c r="M251">
        <v>68</v>
      </c>
      <c r="N251">
        <v>13</v>
      </c>
      <c r="O251" t="str">
        <f t="shared" si="6"/>
        <v>301-500</v>
      </c>
      <c r="P251" t="str">
        <f>IF(airbnb_data3[[#This Row],[price]]&lt;=100,"Budget",
IF(airbnb_data3[[#This Row],[price]]&lt;=200,"Mid-range",
IF(airbnb_data3[[#This Row],[price]]&lt;=300,"Premium","Luxury")))</f>
        <v>Luxury</v>
      </c>
      <c r="Q251" t="str">
        <f>IF(airbnb_data3[[#This Row],[availability_365]]&lt;=120,"Low Availability",IF(airbnb_data3[[#This Row],[availability_365]]&lt;=240,"Medium Availability","High Availability"))</f>
        <v>Low Availability</v>
      </c>
      <c r="R251" s="6" t="str">
        <f t="shared" si="7"/>
        <v>Medium</v>
      </c>
      <c r="S251" s="6" t="str">
        <f>IF(airbnb_data3[[#This Row],[minimum_nights]]&lt;=3,"Short Stay",IF(airbnb_data3[[#This Row],[minimum_nights]]&lt;=7,"Medium Stay","Long Stay"))</f>
        <v>Short Stay</v>
      </c>
    </row>
    <row r="252" spans="1:19" x14ac:dyDescent="0.35">
      <c r="A252" t="s">
        <v>416</v>
      </c>
      <c r="B252" t="s">
        <v>354</v>
      </c>
      <c r="C252" t="s">
        <v>25</v>
      </c>
      <c r="D252">
        <v>42.653420500000003</v>
      </c>
      <c r="E252">
        <v>-73.763975799999997</v>
      </c>
      <c r="F252" t="s">
        <v>22</v>
      </c>
      <c r="G252">
        <v>200</v>
      </c>
      <c r="H252">
        <v>1</v>
      </c>
      <c r="I252">
        <v>39</v>
      </c>
      <c r="J252" s="1">
        <v>46165</v>
      </c>
      <c r="K252">
        <v>1.62</v>
      </c>
      <c r="L252">
        <v>5</v>
      </c>
      <c r="M252">
        <v>55</v>
      </c>
      <c r="N252">
        <v>13</v>
      </c>
      <c r="O252" t="str">
        <f t="shared" si="6"/>
        <v>101-200</v>
      </c>
      <c r="P252" t="str">
        <f>IF(airbnb_data3[[#This Row],[price]]&lt;=100,"Budget",
IF(airbnb_data3[[#This Row],[price]]&lt;=200,"Mid-range",
IF(airbnb_data3[[#This Row],[price]]&lt;=300,"Premium","Luxury")))</f>
        <v>Mid-range</v>
      </c>
      <c r="Q252" t="str">
        <f>IF(airbnb_data3[[#This Row],[availability_365]]&lt;=120,"Low Availability",IF(airbnb_data3[[#This Row],[availability_365]]&lt;=240,"Medium Availability","High Availability"))</f>
        <v>Low Availability</v>
      </c>
      <c r="R252" s="6" t="str">
        <f t="shared" si="7"/>
        <v>Medium</v>
      </c>
      <c r="S252" s="6" t="str">
        <f>IF(airbnb_data3[[#This Row],[minimum_nights]]&lt;=3,"Short Stay",IF(airbnb_data3[[#This Row],[minimum_nights]]&lt;=7,"Medium Stay","Long Stay"))</f>
        <v>Short Stay</v>
      </c>
    </row>
    <row r="253" spans="1:19" x14ac:dyDescent="0.35">
      <c r="A253" t="s">
        <v>417</v>
      </c>
      <c r="B253" t="s">
        <v>354</v>
      </c>
      <c r="C253" t="s">
        <v>25</v>
      </c>
      <c r="D253">
        <v>42.652270000000001</v>
      </c>
      <c r="E253">
        <v>-73.764600000000002</v>
      </c>
      <c r="F253" t="s">
        <v>22</v>
      </c>
      <c r="G253">
        <v>277</v>
      </c>
      <c r="H253">
        <v>1</v>
      </c>
      <c r="I253">
        <v>43</v>
      </c>
      <c r="J253" s="1">
        <v>46125</v>
      </c>
      <c r="K253">
        <v>1.84</v>
      </c>
      <c r="L253">
        <v>5</v>
      </c>
      <c r="M253">
        <v>36</v>
      </c>
      <c r="N253">
        <v>19</v>
      </c>
      <c r="O253" t="str">
        <f t="shared" si="6"/>
        <v>201-300</v>
      </c>
      <c r="P253" t="str">
        <f>IF(airbnb_data3[[#This Row],[price]]&lt;=100,"Budget",
IF(airbnb_data3[[#This Row],[price]]&lt;=200,"Mid-range",
IF(airbnb_data3[[#This Row],[price]]&lt;=300,"Premium","Luxury")))</f>
        <v>Premium</v>
      </c>
      <c r="Q253" t="str">
        <f>IF(airbnb_data3[[#This Row],[availability_365]]&lt;=120,"Low Availability",IF(airbnb_data3[[#This Row],[availability_365]]&lt;=240,"Medium Availability","High Availability"))</f>
        <v>Low Availability</v>
      </c>
      <c r="R253" s="6" t="str">
        <f t="shared" si="7"/>
        <v>High</v>
      </c>
      <c r="S253" s="6" t="str">
        <f>IF(airbnb_data3[[#This Row],[minimum_nights]]&lt;=3,"Short Stay",IF(airbnb_data3[[#This Row],[minimum_nights]]&lt;=7,"Medium Stay","Long Stay"))</f>
        <v>Short Stay</v>
      </c>
    </row>
    <row r="254" spans="1:19" x14ac:dyDescent="0.35">
      <c r="A254" t="s">
        <v>418</v>
      </c>
      <c r="B254" t="s">
        <v>354</v>
      </c>
      <c r="C254" t="s">
        <v>25</v>
      </c>
      <c r="D254">
        <v>42.6524</v>
      </c>
      <c r="E254">
        <v>-73.763509999999997</v>
      </c>
      <c r="F254" t="s">
        <v>22</v>
      </c>
      <c r="G254">
        <v>187</v>
      </c>
      <c r="H254">
        <v>1</v>
      </c>
      <c r="I254">
        <v>40</v>
      </c>
      <c r="J254" s="1">
        <v>46160</v>
      </c>
      <c r="K254">
        <v>1.67</v>
      </c>
      <c r="L254">
        <v>5</v>
      </c>
      <c r="M254">
        <v>54</v>
      </c>
      <c r="N254">
        <v>21</v>
      </c>
      <c r="O254" t="str">
        <f t="shared" si="6"/>
        <v>101-200</v>
      </c>
      <c r="P254" t="str">
        <f>IF(airbnb_data3[[#This Row],[price]]&lt;=100,"Budget",
IF(airbnb_data3[[#This Row],[price]]&lt;=200,"Mid-range",
IF(airbnb_data3[[#This Row],[price]]&lt;=300,"Premium","Luxury")))</f>
        <v>Mid-range</v>
      </c>
      <c r="Q254" t="str">
        <f>IF(airbnb_data3[[#This Row],[availability_365]]&lt;=120,"Low Availability",IF(airbnb_data3[[#This Row],[availability_365]]&lt;=240,"Medium Availability","High Availability"))</f>
        <v>Low Availability</v>
      </c>
      <c r="R254" s="6" t="str">
        <f t="shared" si="7"/>
        <v>Medium</v>
      </c>
      <c r="S254" s="6" t="str">
        <f>IF(airbnb_data3[[#This Row],[minimum_nights]]&lt;=3,"Short Stay",IF(airbnb_data3[[#This Row],[minimum_nights]]&lt;=7,"Medium Stay","Long Stay"))</f>
        <v>Short Stay</v>
      </c>
    </row>
    <row r="255" spans="1:19" x14ac:dyDescent="0.35">
      <c r="A255" t="s">
        <v>419</v>
      </c>
      <c r="B255" t="s">
        <v>420</v>
      </c>
      <c r="C255" t="s">
        <v>25</v>
      </c>
      <c r="D255">
        <v>42.653269999999999</v>
      </c>
      <c r="E255">
        <v>-73.761809999999997</v>
      </c>
      <c r="F255" t="s">
        <v>22</v>
      </c>
      <c r="G255">
        <v>134</v>
      </c>
      <c r="H255">
        <v>1</v>
      </c>
      <c r="I255">
        <v>249</v>
      </c>
      <c r="J255" s="1">
        <v>46187</v>
      </c>
      <c r="K255">
        <v>10.43</v>
      </c>
      <c r="L255">
        <v>1</v>
      </c>
      <c r="M255">
        <v>123</v>
      </c>
      <c r="N255">
        <v>116</v>
      </c>
      <c r="O255" t="str">
        <f t="shared" si="6"/>
        <v>101-200</v>
      </c>
      <c r="P255" t="str">
        <f>IF(airbnb_data3[[#This Row],[price]]&lt;=100,"Budget",
IF(airbnb_data3[[#This Row],[price]]&lt;=200,"Mid-range",
IF(airbnb_data3[[#This Row],[price]]&lt;=300,"Premium","Luxury")))</f>
        <v>Mid-range</v>
      </c>
      <c r="Q255" t="str">
        <f>IF(airbnb_data3[[#This Row],[availability_365]]&lt;=120,"Low Availability",IF(airbnb_data3[[#This Row],[availability_365]]&lt;=240,"Medium Availability","High Availability"))</f>
        <v>Medium Availability</v>
      </c>
      <c r="R255" s="6" t="str">
        <f t="shared" si="7"/>
        <v>Medium</v>
      </c>
      <c r="S255" s="6" t="str">
        <f>IF(airbnb_data3[[#This Row],[minimum_nights]]&lt;=3,"Short Stay",IF(airbnb_data3[[#This Row],[minimum_nights]]&lt;=7,"Medium Stay","Long Stay"))</f>
        <v>Short Stay</v>
      </c>
    </row>
    <row r="256" spans="1:19" x14ac:dyDescent="0.35">
      <c r="A256" t="s">
        <v>421</v>
      </c>
      <c r="B256" t="s">
        <v>122</v>
      </c>
      <c r="C256" t="s">
        <v>34</v>
      </c>
      <c r="D256">
        <v>42.666119999999999</v>
      </c>
      <c r="E256">
        <v>-73.792749999999998</v>
      </c>
      <c r="F256" t="s">
        <v>31</v>
      </c>
      <c r="G256">
        <v>47</v>
      </c>
      <c r="H256">
        <v>28</v>
      </c>
      <c r="I256">
        <v>0</v>
      </c>
      <c r="K256">
        <v>0</v>
      </c>
      <c r="L256">
        <v>21</v>
      </c>
      <c r="M256">
        <v>209</v>
      </c>
      <c r="N256">
        <v>0</v>
      </c>
      <c r="O256" t="str">
        <f t="shared" si="6"/>
        <v>0-100</v>
      </c>
      <c r="P256" t="str">
        <f>IF(airbnb_data3[[#This Row],[price]]&lt;=100,"Budget",
IF(airbnb_data3[[#This Row],[price]]&lt;=200,"Mid-range",
IF(airbnb_data3[[#This Row],[price]]&lt;=300,"Premium","Luxury")))</f>
        <v>Budget</v>
      </c>
      <c r="Q256" t="str">
        <f>IF(airbnb_data3[[#This Row],[availability_365]]&lt;=120,"Low Availability",IF(airbnb_data3[[#This Row],[availability_365]]&lt;=240,"Medium Availability","High Availability"))</f>
        <v>Medium Availability</v>
      </c>
      <c r="R256" s="6" t="str">
        <f t="shared" si="7"/>
        <v>Medium</v>
      </c>
      <c r="S256" s="6" t="str">
        <f>IF(airbnb_data3[[#This Row],[minimum_nights]]&lt;=3,"Short Stay",IF(airbnb_data3[[#This Row],[minimum_nights]]&lt;=7,"Medium Stay","Long Stay"))</f>
        <v>Long Stay</v>
      </c>
    </row>
    <row r="257" spans="1:19" x14ac:dyDescent="0.35">
      <c r="A257" t="s">
        <v>422</v>
      </c>
      <c r="B257" t="s">
        <v>95</v>
      </c>
      <c r="C257" t="s">
        <v>51</v>
      </c>
      <c r="D257">
        <v>42.65502</v>
      </c>
      <c r="E257">
        <v>-73.791830000000004</v>
      </c>
      <c r="F257" t="s">
        <v>22</v>
      </c>
      <c r="G257">
        <v>343</v>
      </c>
      <c r="H257">
        <v>1</v>
      </c>
      <c r="I257">
        <v>29</v>
      </c>
      <c r="J257" s="1">
        <v>45857</v>
      </c>
      <c r="K257">
        <v>1.22</v>
      </c>
      <c r="L257">
        <v>14</v>
      </c>
      <c r="M257">
        <v>62</v>
      </c>
      <c r="N257">
        <v>1</v>
      </c>
      <c r="O257" t="str">
        <f t="shared" si="6"/>
        <v>301-500</v>
      </c>
      <c r="P257" t="str">
        <f>IF(airbnb_data3[[#This Row],[price]]&lt;=100,"Budget",
IF(airbnb_data3[[#This Row],[price]]&lt;=200,"Mid-range",
IF(airbnb_data3[[#This Row],[price]]&lt;=300,"Premium","Luxury")))</f>
        <v>Luxury</v>
      </c>
      <c r="Q257" t="str">
        <f>IF(airbnb_data3[[#This Row],[availability_365]]&lt;=120,"Low Availability",IF(airbnb_data3[[#This Row],[availability_365]]&lt;=240,"Medium Availability","High Availability"))</f>
        <v>Low Availability</v>
      </c>
      <c r="R257" s="6" t="str">
        <f t="shared" si="7"/>
        <v>Medium</v>
      </c>
      <c r="S257" s="6" t="str">
        <f>IF(airbnb_data3[[#This Row],[minimum_nights]]&lt;=3,"Short Stay",IF(airbnb_data3[[#This Row],[minimum_nights]]&lt;=7,"Medium Stay","Long Stay"))</f>
        <v>Short Stay</v>
      </c>
    </row>
    <row r="258" spans="1:19" x14ac:dyDescent="0.35">
      <c r="A258" t="s">
        <v>423</v>
      </c>
      <c r="B258" t="s">
        <v>182</v>
      </c>
      <c r="C258" t="s">
        <v>25</v>
      </c>
      <c r="D258">
        <v>42.653329999999997</v>
      </c>
      <c r="E258">
        <v>-73.771100000000004</v>
      </c>
      <c r="F258" t="s">
        <v>22</v>
      </c>
      <c r="G258">
        <v>183</v>
      </c>
      <c r="H258">
        <v>1</v>
      </c>
      <c r="I258">
        <v>50</v>
      </c>
      <c r="J258" s="1">
        <v>46174</v>
      </c>
      <c r="K258">
        <v>2.35</v>
      </c>
      <c r="L258">
        <v>16</v>
      </c>
      <c r="M258">
        <v>349</v>
      </c>
      <c r="N258">
        <v>26</v>
      </c>
      <c r="O258" t="str">
        <f t="shared" ref="O258:O321" si="8">IF(G258&lt;=100,"0-100",
IF(G258&lt;=200,"101-200",
IF(G258&lt;=300,"201-300",
IF(G258&lt;=500,"301-500","500+"))))</f>
        <v>101-200</v>
      </c>
      <c r="P258" t="str">
        <f>IF(airbnb_data3[[#This Row],[price]]&lt;=100,"Budget",
IF(airbnb_data3[[#This Row],[price]]&lt;=200,"Mid-range",
IF(airbnb_data3[[#This Row],[price]]&lt;=300,"Premium","Luxury")))</f>
        <v>Mid-range</v>
      </c>
      <c r="Q258" t="str">
        <f>IF(airbnb_data3[[#This Row],[availability_365]]&lt;=120,"Low Availability",IF(airbnb_data3[[#This Row],[availability_365]]&lt;=240,"Medium Availability","High Availability"))</f>
        <v>High Availability</v>
      </c>
      <c r="R258" s="6" t="str">
        <f t="shared" ref="R258:R321" si="9">IF(R259&lt;=25,"Low",IF(I260&lt;=100,"Medium","High"))</f>
        <v>Medium</v>
      </c>
      <c r="S258" s="6" t="str">
        <f>IF(airbnb_data3[[#This Row],[minimum_nights]]&lt;=3,"Short Stay",IF(airbnb_data3[[#This Row],[minimum_nights]]&lt;=7,"Medium Stay","Long Stay"))</f>
        <v>Short Stay</v>
      </c>
    </row>
    <row r="259" spans="1:19" x14ac:dyDescent="0.35">
      <c r="A259" t="s">
        <v>424</v>
      </c>
      <c r="B259" t="s">
        <v>182</v>
      </c>
      <c r="C259" t="s">
        <v>47</v>
      </c>
      <c r="D259">
        <v>42.662149999999997</v>
      </c>
      <c r="E259">
        <v>-73.790480000000002</v>
      </c>
      <c r="F259" t="s">
        <v>22</v>
      </c>
      <c r="G259">
        <v>179</v>
      </c>
      <c r="H259">
        <v>1</v>
      </c>
      <c r="I259">
        <v>56</v>
      </c>
      <c r="J259" s="1">
        <v>46159</v>
      </c>
      <c r="K259">
        <v>2.39</v>
      </c>
      <c r="L259">
        <v>16</v>
      </c>
      <c r="M259">
        <v>320</v>
      </c>
      <c r="N259">
        <v>21</v>
      </c>
      <c r="O259" t="str">
        <f t="shared" si="8"/>
        <v>101-200</v>
      </c>
      <c r="P259" t="str">
        <f>IF(airbnb_data3[[#This Row],[price]]&lt;=100,"Budget",
IF(airbnb_data3[[#This Row],[price]]&lt;=200,"Mid-range",
IF(airbnb_data3[[#This Row],[price]]&lt;=300,"Premium","Luxury")))</f>
        <v>Mid-range</v>
      </c>
      <c r="Q259" t="str">
        <f>IF(airbnb_data3[[#This Row],[availability_365]]&lt;=120,"Low Availability",IF(airbnb_data3[[#This Row],[availability_365]]&lt;=240,"Medium Availability","High Availability"))</f>
        <v>High Availability</v>
      </c>
      <c r="R259" s="6" t="str">
        <f t="shared" si="9"/>
        <v>Medium</v>
      </c>
      <c r="S259" s="6" t="str">
        <f>IF(airbnb_data3[[#This Row],[minimum_nights]]&lt;=3,"Short Stay",IF(airbnb_data3[[#This Row],[minimum_nights]]&lt;=7,"Medium Stay","Long Stay"))</f>
        <v>Short Stay</v>
      </c>
    </row>
    <row r="260" spans="1:19" x14ac:dyDescent="0.35">
      <c r="A260" t="s">
        <v>425</v>
      </c>
      <c r="B260" t="s">
        <v>426</v>
      </c>
      <c r="C260" t="s">
        <v>47</v>
      </c>
      <c r="D260">
        <v>42.660529099999998</v>
      </c>
      <c r="E260">
        <v>-73.7831549</v>
      </c>
      <c r="F260" t="s">
        <v>31</v>
      </c>
      <c r="G260">
        <v>33</v>
      </c>
      <c r="H260">
        <v>28</v>
      </c>
      <c r="I260">
        <v>2</v>
      </c>
      <c r="J260" s="1">
        <v>46157</v>
      </c>
      <c r="K260">
        <v>0.55000000000000004</v>
      </c>
      <c r="L260">
        <v>8</v>
      </c>
      <c r="M260">
        <v>363</v>
      </c>
      <c r="N260">
        <v>2</v>
      </c>
      <c r="O260" t="str">
        <f t="shared" si="8"/>
        <v>0-100</v>
      </c>
      <c r="P260" t="str">
        <f>IF(airbnb_data3[[#This Row],[price]]&lt;=100,"Budget",
IF(airbnb_data3[[#This Row],[price]]&lt;=200,"Mid-range",
IF(airbnb_data3[[#This Row],[price]]&lt;=300,"Premium","Luxury")))</f>
        <v>Budget</v>
      </c>
      <c r="Q260" t="str">
        <f>IF(airbnb_data3[[#This Row],[availability_365]]&lt;=120,"Low Availability",IF(airbnb_data3[[#This Row],[availability_365]]&lt;=240,"Medium Availability","High Availability"))</f>
        <v>High Availability</v>
      </c>
      <c r="R260" s="6" t="str">
        <f t="shared" si="9"/>
        <v>Medium</v>
      </c>
      <c r="S260" s="6" t="str">
        <f>IF(airbnb_data3[[#This Row],[minimum_nights]]&lt;=3,"Short Stay",IF(airbnb_data3[[#This Row],[minimum_nights]]&lt;=7,"Medium Stay","Long Stay"))</f>
        <v>Long Stay</v>
      </c>
    </row>
    <row r="261" spans="1:19" x14ac:dyDescent="0.35">
      <c r="A261" t="s">
        <v>427</v>
      </c>
      <c r="B261" t="s">
        <v>286</v>
      </c>
      <c r="C261" t="s">
        <v>25</v>
      </c>
      <c r="D261">
        <v>42.655732</v>
      </c>
      <c r="E261">
        <v>-73.764735000000002</v>
      </c>
      <c r="F261" t="s">
        <v>22</v>
      </c>
      <c r="G261">
        <v>294</v>
      </c>
      <c r="H261">
        <v>5</v>
      </c>
      <c r="I261">
        <v>0</v>
      </c>
      <c r="K261">
        <v>0</v>
      </c>
      <c r="L261">
        <v>4</v>
      </c>
      <c r="M261">
        <v>350</v>
      </c>
      <c r="N261">
        <v>0</v>
      </c>
      <c r="O261" t="str">
        <f t="shared" si="8"/>
        <v>201-300</v>
      </c>
      <c r="P261" t="str">
        <f>IF(airbnb_data3[[#This Row],[price]]&lt;=100,"Budget",
IF(airbnb_data3[[#This Row],[price]]&lt;=200,"Mid-range",
IF(airbnb_data3[[#This Row],[price]]&lt;=300,"Premium","Luxury")))</f>
        <v>Premium</v>
      </c>
      <c r="Q261" t="str">
        <f>IF(airbnb_data3[[#This Row],[availability_365]]&lt;=120,"Low Availability",IF(airbnb_data3[[#This Row],[availability_365]]&lt;=240,"Medium Availability","High Availability"))</f>
        <v>High Availability</v>
      </c>
      <c r="R261" s="6" t="str">
        <f t="shared" si="9"/>
        <v>Medium</v>
      </c>
      <c r="S261" s="6" t="str">
        <f>IF(airbnb_data3[[#This Row],[minimum_nights]]&lt;=3,"Short Stay",IF(airbnb_data3[[#This Row],[minimum_nights]]&lt;=7,"Medium Stay","Long Stay"))</f>
        <v>Medium Stay</v>
      </c>
    </row>
    <row r="262" spans="1:19" x14ac:dyDescent="0.35">
      <c r="A262" t="s">
        <v>428</v>
      </c>
      <c r="B262" t="s">
        <v>122</v>
      </c>
      <c r="C262" t="s">
        <v>47</v>
      </c>
      <c r="D262">
        <v>42.662689999999998</v>
      </c>
      <c r="E262">
        <v>-73.781630000000007</v>
      </c>
      <c r="F262" t="s">
        <v>31</v>
      </c>
      <c r="G262">
        <v>71</v>
      </c>
      <c r="H262">
        <v>30</v>
      </c>
      <c r="I262">
        <v>0</v>
      </c>
      <c r="K262">
        <v>0</v>
      </c>
      <c r="L262">
        <v>21</v>
      </c>
      <c r="M262">
        <v>350</v>
      </c>
      <c r="N262">
        <v>0</v>
      </c>
      <c r="O262" t="str">
        <f t="shared" si="8"/>
        <v>0-100</v>
      </c>
      <c r="P262" t="str">
        <f>IF(airbnb_data3[[#This Row],[price]]&lt;=100,"Budget",
IF(airbnb_data3[[#This Row],[price]]&lt;=200,"Mid-range",
IF(airbnb_data3[[#This Row],[price]]&lt;=300,"Premium","Luxury")))</f>
        <v>Budget</v>
      </c>
      <c r="Q262" t="str">
        <f>IF(airbnb_data3[[#This Row],[availability_365]]&lt;=120,"Low Availability",IF(airbnb_data3[[#This Row],[availability_365]]&lt;=240,"Medium Availability","High Availability"))</f>
        <v>High Availability</v>
      </c>
      <c r="R262" s="6" t="str">
        <f t="shared" si="9"/>
        <v>Medium</v>
      </c>
      <c r="S262" s="6" t="str">
        <f>IF(airbnb_data3[[#This Row],[minimum_nights]]&lt;=3,"Short Stay",IF(airbnb_data3[[#This Row],[minimum_nights]]&lt;=7,"Medium Stay","Long Stay"))</f>
        <v>Long Stay</v>
      </c>
    </row>
    <row r="263" spans="1:19" x14ac:dyDescent="0.35">
      <c r="A263" t="s">
        <v>429</v>
      </c>
      <c r="B263" t="s">
        <v>430</v>
      </c>
      <c r="C263" t="s">
        <v>51</v>
      </c>
      <c r="D263">
        <v>42.655067359287898</v>
      </c>
      <c r="E263">
        <v>-73.797684609889899</v>
      </c>
      <c r="F263" t="s">
        <v>31</v>
      </c>
      <c r="G263">
        <v>55</v>
      </c>
      <c r="H263">
        <v>30</v>
      </c>
      <c r="I263">
        <v>6</v>
      </c>
      <c r="J263" s="1">
        <v>46009</v>
      </c>
      <c r="K263">
        <v>0.26</v>
      </c>
      <c r="L263">
        <v>3</v>
      </c>
      <c r="M263">
        <v>47</v>
      </c>
      <c r="N263">
        <v>1</v>
      </c>
      <c r="O263" t="str">
        <f t="shared" si="8"/>
        <v>0-100</v>
      </c>
      <c r="P263" t="str">
        <f>IF(airbnb_data3[[#This Row],[price]]&lt;=100,"Budget",
IF(airbnb_data3[[#This Row],[price]]&lt;=200,"Mid-range",
IF(airbnb_data3[[#This Row],[price]]&lt;=300,"Premium","Luxury")))</f>
        <v>Budget</v>
      </c>
      <c r="Q263" t="str">
        <f>IF(airbnb_data3[[#This Row],[availability_365]]&lt;=120,"Low Availability",IF(airbnb_data3[[#This Row],[availability_365]]&lt;=240,"Medium Availability","High Availability"))</f>
        <v>Low Availability</v>
      </c>
      <c r="R263" s="6" t="str">
        <f t="shared" si="9"/>
        <v>Medium</v>
      </c>
      <c r="S263" s="6" t="str">
        <f>IF(airbnb_data3[[#This Row],[minimum_nights]]&lt;=3,"Short Stay",IF(airbnb_data3[[#This Row],[minimum_nights]]&lt;=7,"Medium Stay","Long Stay"))</f>
        <v>Long Stay</v>
      </c>
    </row>
    <row r="264" spans="1:19" x14ac:dyDescent="0.35">
      <c r="A264" t="s">
        <v>431</v>
      </c>
      <c r="B264" t="s">
        <v>122</v>
      </c>
      <c r="C264" t="s">
        <v>47</v>
      </c>
      <c r="D264">
        <v>42.663899999999998</v>
      </c>
      <c r="E264">
        <v>-73.792699999999996</v>
      </c>
      <c r="F264" t="s">
        <v>31</v>
      </c>
      <c r="G264">
        <v>72</v>
      </c>
      <c r="H264">
        <v>28</v>
      </c>
      <c r="I264">
        <v>0</v>
      </c>
      <c r="K264">
        <v>0</v>
      </c>
      <c r="L264">
        <v>21</v>
      </c>
      <c r="M264">
        <v>364</v>
      </c>
      <c r="N264">
        <v>0</v>
      </c>
      <c r="O264" t="str">
        <f t="shared" si="8"/>
        <v>0-100</v>
      </c>
      <c r="P264" t="str">
        <f>IF(airbnb_data3[[#This Row],[price]]&lt;=100,"Budget",
IF(airbnb_data3[[#This Row],[price]]&lt;=200,"Mid-range",
IF(airbnb_data3[[#This Row],[price]]&lt;=300,"Premium","Luxury")))</f>
        <v>Budget</v>
      </c>
      <c r="Q264" t="str">
        <f>IF(airbnb_data3[[#This Row],[availability_365]]&lt;=120,"Low Availability",IF(airbnb_data3[[#This Row],[availability_365]]&lt;=240,"Medium Availability","High Availability"))</f>
        <v>High Availability</v>
      </c>
      <c r="R264" s="6" t="str">
        <f t="shared" si="9"/>
        <v>Medium</v>
      </c>
      <c r="S264" s="6" t="str">
        <f>IF(airbnb_data3[[#This Row],[minimum_nights]]&lt;=3,"Short Stay",IF(airbnb_data3[[#This Row],[minimum_nights]]&lt;=7,"Medium Stay","Long Stay"))</f>
        <v>Long Stay</v>
      </c>
    </row>
    <row r="265" spans="1:19" x14ac:dyDescent="0.35">
      <c r="A265" t="s">
        <v>432</v>
      </c>
      <c r="B265" t="s">
        <v>276</v>
      </c>
      <c r="C265" t="s">
        <v>68</v>
      </c>
      <c r="D265">
        <v>42.673180000000002</v>
      </c>
      <c r="E265">
        <v>-73.793450000000007</v>
      </c>
      <c r="F265" t="s">
        <v>31</v>
      </c>
      <c r="G265">
        <v>97</v>
      </c>
      <c r="H265">
        <v>4</v>
      </c>
      <c r="I265">
        <v>4</v>
      </c>
      <c r="J265" s="1">
        <v>45870</v>
      </c>
      <c r="K265">
        <v>0.19</v>
      </c>
      <c r="L265">
        <v>13</v>
      </c>
      <c r="M265">
        <v>88</v>
      </c>
      <c r="N265">
        <v>2</v>
      </c>
      <c r="O265" t="str">
        <f t="shared" si="8"/>
        <v>0-100</v>
      </c>
      <c r="P265" t="str">
        <f>IF(airbnb_data3[[#This Row],[price]]&lt;=100,"Budget",
IF(airbnb_data3[[#This Row],[price]]&lt;=200,"Mid-range",
IF(airbnb_data3[[#This Row],[price]]&lt;=300,"Premium","Luxury")))</f>
        <v>Budget</v>
      </c>
      <c r="Q265" t="str">
        <f>IF(airbnb_data3[[#This Row],[availability_365]]&lt;=120,"Low Availability",IF(airbnb_data3[[#This Row],[availability_365]]&lt;=240,"Medium Availability","High Availability"))</f>
        <v>Low Availability</v>
      </c>
      <c r="R265" s="6" t="str">
        <f t="shared" si="9"/>
        <v>Medium</v>
      </c>
      <c r="S265" s="6" t="str">
        <f>IF(airbnb_data3[[#This Row],[minimum_nights]]&lt;=3,"Short Stay",IF(airbnb_data3[[#This Row],[minimum_nights]]&lt;=7,"Medium Stay","Long Stay"))</f>
        <v>Medium Stay</v>
      </c>
    </row>
    <row r="266" spans="1:19" x14ac:dyDescent="0.35">
      <c r="A266" t="s">
        <v>433</v>
      </c>
      <c r="B266" t="s">
        <v>399</v>
      </c>
      <c r="C266" t="s">
        <v>68</v>
      </c>
      <c r="D266">
        <v>42.668590000000002</v>
      </c>
      <c r="E266">
        <v>-73.788319999999999</v>
      </c>
      <c r="F266" t="s">
        <v>31</v>
      </c>
      <c r="G266">
        <v>38</v>
      </c>
      <c r="H266">
        <v>28</v>
      </c>
      <c r="I266">
        <v>4</v>
      </c>
      <c r="J266" s="1">
        <v>46182</v>
      </c>
      <c r="K266">
        <v>0.19</v>
      </c>
      <c r="L266">
        <v>6</v>
      </c>
      <c r="M266">
        <v>336</v>
      </c>
      <c r="N266">
        <v>2</v>
      </c>
      <c r="O266" t="str">
        <f t="shared" si="8"/>
        <v>0-100</v>
      </c>
      <c r="P266" t="str">
        <f>IF(airbnb_data3[[#This Row],[price]]&lt;=100,"Budget",
IF(airbnb_data3[[#This Row],[price]]&lt;=200,"Mid-range",
IF(airbnb_data3[[#This Row],[price]]&lt;=300,"Premium","Luxury")))</f>
        <v>Budget</v>
      </c>
      <c r="Q266" t="str">
        <f>IF(airbnb_data3[[#This Row],[availability_365]]&lt;=120,"Low Availability",IF(airbnb_data3[[#This Row],[availability_365]]&lt;=240,"Medium Availability","High Availability"))</f>
        <v>High Availability</v>
      </c>
      <c r="R266" s="6" t="str">
        <f t="shared" si="9"/>
        <v>Medium</v>
      </c>
      <c r="S266" s="6" t="str">
        <f>IF(airbnb_data3[[#This Row],[minimum_nights]]&lt;=3,"Short Stay",IF(airbnb_data3[[#This Row],[minimum_nights]]&lt;=7,"Medium Stay","Long Stay"))</f>
        <v>Long Stay</v>
      </c>
    </row>
    <row r="267" spans="1:19" x14ac:dyDescent="0.35">
      <c r="A267" t="s">
        <v>434</v>
      </c>
      <c r="B267" t="s">
        <v>399</v>
      </c>
      <c r="C267" t="s">
        <v>68</v>
      </c>
      <c r="D267">
        <v>42.668940399999997</v>
      </c>
      <c r="E267">
        <v>-73.789006399999906</v>
      </c>
      <c r="F267" t="s">
        <v>31</v>
      </c>
      <c r="G267">
        <v>86</v>
      </c>
      <c r="H267">
        <v>1</v>
      </c>
      <c r="I267">
        <v>0</v>
      </c>
      <c r="K267">
        <v>0</v>
      </c>
      <c r="L267">
        <v>6</v>
      </c>
      <c r="M267">
        <v>350</v>
      </c>
      <c r="N267">
        <v>0</v>
      </c>
      <c r="O267" t="str">
        <f t="shared" si="8"/>
        <v>0-100</v>
      </c>
      <c r="P267" t="str">
        <f>IF(airbnb_data3[[#This Row],[price]]&lt;=100,"Budget",
IF(airbnb_data3[[#This Row],[price]]&lt;=200,"Mid-range",
IF(airbnb_data3[[#This Row],[price]]&lt;=300,"Premium","Luxury")))</f>
        <v>Budget</v>
      </c>
      <c r="Q267" t="str">
        <f>IF(airbnb_data3[[#This Row],[availability_365]]&lt;=120,"Low Availability",IF(airbnb_data3[[#This Row],[availability_365]]&lt;=240,"Medium Availability","High Availability"))</f>
        <v>High Availability</v>
      </c>
      <c r="R267" s="6" t="str">
        <f t="shared" si="9"/>
        <v>Medium</v>
      </c>
      <c r="S267" s="6" t="str">
        <f>IF(airbnb_data3[[#This Row],[minimum_nights]]&lt;=3,"Short Stay",IF(airbnb_data3[[#This Row],[minimum_nights]]&lt;=7,"Medium Stay","Long Stay"))</f>
        <v>Short Stay</v>
      </c>
    </row>
    <row r="268" spans="1:19" x14ac:dyDescent="0.35">
      <c r="A268" t="s">
        <v>435</v>
      </c>
      <c r="B268" t="s">
        <v>409</v>
      </c>
      <c r="C268" t="s">
        <v>68</v>
      </c>
      <c r="D268">
        <v>42.669550000000001</v>
      </c>
      <c r="E268">
        <v>-73.785420000000002</v>
      </c>
      <c r="F268" t="s">
        <v>22</v>
      </c>
      <c r="G268">
        <v>194</v>
      </c>
      <c r="H268">
        <v>3</v>
      </c>
      <c r="I268">
        <v>15</v>
      </c>
      <c r="J268" s="1">
        <v>46146</v>
      </c>
      <c r="K268">
        <v>0.7</v>
      </c>
      <c r="L268">
        <v>3</v>
      </c>
      <c r="M268">
        <v>348</v>
      </c>
      <c r="N268">
        <v>8</v>
      </c>
      <c r="O268" t="str">
        <f t="shared" si="8"/>
        <v>101-200</v>
      </c>
      <c r="P268" t="str">
        <f>IF(airbnb_data3[[#This Row],[price]]&lt;=100,"Budget",
IF(airbnb_data3[[#This Row],[price]]&lt;=200,"Mid-range",
IF(airbnb_data3[[#This Row],[price]]&lt;=300,"Premium","Luxury")))</f>
        <v>Mid-range</v>
      </c>
      <c r="Q268" t="str">
        <f>IF(airbnb_data3[[#This Row],[availability_365]]&lt;=120,"Low Availability",IF(airbnb_data3[[#This Row],[availability_365]]&lt;=240,"Medium Availability","High Availability"))</f>
        <v>High Availability</v>
      </c>
      <c r="R268" s="6" t="str">
        <f t="shared" si="9"/>
        <v>High</v>
      </c>
      <c r="S268" s="6" t="str">
        <f>IF(airbnb_data3[[#This Row],[minimum_nights]]&lt;=3,"Short Stay",IF(airbnb_data3[[#This Row],[minimum_nights]]&lt;=7,"Medium Stay","Long Stay"))</f>
        <v>Short Stay</v>
      </c>
    </row>
    <row r="269" spans="1:19" x14ac:dyDescent="0.35">
      <c r="A269" t="s">
        <v>436</v>
      </c>
      <c r="B269" t="s">
        <v>136</v>
      </c>
      <c r="C269" t="s">
        <v>25</v>
      </c>
      <c r="D269">
        <v>42.655071610896101</v>
      </c>
      <c r="E269">
        <v>-73.764750946777198</v>
      </c>
      <c r="F269" t="s">
        <v>22</v>
      </c>
      <c r="G269">
        <v>253</v>
      </c>
      <c r="H269">
        <v>1</v>
      </c>
      <c r="I269">
        <v>88</v>
      </c>
      <c r="J269" s="1">
        <v>46177</v>
      </c>
      <c r="K269">
        <v>4.7699999999999996</v>
      </c>
      <c r="L269">
        <v>1</v>
      </c>
      <c r="M269">
        <v>239</v>
      </c>
      <c r="N269">
        <v>41</v>
      </c>
      <c r="O269" t="str">
        <f t="shared" si="8"/>
        <v>201-300</v>
      </c>
      <c r="P269" t="str">
        <f>IF(airbnb_data3[[#This Row],[price]]&lt;=100,"Budget",
IF(airbnb_data3[[#This Row],[price]]&lt;=200,"Mid-range",
IF(airbnb_data3[[#This Row],[price]]&lt;=300,"Premium","Luxury")))</f>
        <v>Premium</v>
      </c>
      <c r="Q269" t="str">
        <f>IF(airbnb_data3[[#This Row],[availability_365]]&lt;=120,"Low Availability",IF(airbnb_data3[[#This Row],[availability_365]]&lt;=240,"Medium Availability","High Availability"))</f>
        <v>Medium Availability</v>
      </c>
      <c r="R269" s="6" t="str">
        <f t="shared" si="9"/>
        <v>Medium</v>
      </c>
      <c r="S269" s="6" t="str">
        <f>IF(airbnb_data3[[#This Row],[minimum_nights]]&lt;=3,"Short Stay",IF(airbnb_data3[[#This Row],[minimum_nights]]&lt;=7,"Medium Stay","Long Stay"))</f>
        <v>Short Stay</v>
      </c>
    </row>
    <row r="270" spans="1:19" x14ac:dyDescent="0.35">
      <c r="A270" t="s">
        <v>437</v>
      </c>
      <c r="B270" t="s">
        <v>359</v>
      </c>
      <c r="C270" t="s">
        <v>25</v>
      </c>
      <c r="D270">
        <v>42.651730000000001</v>
      </c>
      <c r="E270">
        <v>-73.767859999999999</v>
      </c>
      <c r="F270" t="s">
        <v>22</v>
      </c>
      <c r="G270">
        <v>157</v>
      </c>
      <c r="H270">
        <v>1</v>
      </c>
      <c r="I270">
        <v>116</v>
      </c>
      <c r="J270" s="1">
        <v>46167</v>
      </c>
      <c r="K270">
        <v>5.39</v>
      </c>
      <c r="L270">
        <v>8</v>
      </c>
      <c r="M270">
        <v>217</v>
      </c>
      <c r="N270">
        <v>60</v>
      </c>
      <c r="O270" t="str">
        <f t="shared" si="8"/>
        <v>101-200</v>
      </c>
      <c r="P270" t="str">
        <f>IF(airbnb_data3[[#This Row],[price]]&lt;=100,"Budget",
IF(airbnb_data3[[#This Row],[price]]&lt;=200,"Mid-range",
IF(airbnb_data3[[#This Row],[price]]&lt;=300,"Premium","Luxury")))</f>
        <v>Mid-range</v>
      </c>
      <c r="Q270" t="str">
        <f>IF(airbnb_data3[[#This Row],[availability_365]]&lt;=120,"Low Availability",IF(airbnb_data3[[#This Row],[availability_365]]&lt;=240,"Medium Availability","High Availability"))</f>
        <v>Medium Availability</v>
      </c>
      <c r="R270" s="6" t="str">
        <f t="shared" si="9"/>
        <v>Medium</v>
      </c>
      <c r="S270" s="6" t="str">
        <f>IF(airbnb_data3[[#This Row],[minimum_nights]]&lt;=3,"Short Stay",IF(airbnb_data3[[#This Row],[minimum_nights]]&lt;=7,"Medium Stay","Long Stay"))</f>
        <v>Short Stay</v>
      </c>
    </row>
    <row r="271" spans="1:19" x14ac:dyDescent="0.35">
      <c r="A271" t="s">
        <v>438</v>
      </c>
      <c r="B271" t="s">
        <v>381</v>
      </c>
      <c r="C271" t="s">
        <v>25</v>
      </c>
      <c r="D271">
        <v>42.650468069044301</v>
      </c>
      <c r="E271">
        <v>-73.764347958106399</v>
      </c>
      <c r="F271" t="s">
        <v>22</v>
      </c>
      <c r="G271">
        <v>193</v>
      </c>
      <c r="H271">
        <v>1</v>
      </c>
      <c r="I271">
        <v>3</v>
      </c>
      <c r="J271" s="1">
        <v>46179</v>
      </c>
      <c r="K271">
        <v>0.15</v>
      </c>
      <c r="L271">
        <v>3</v>
      </c>
      <c r="M271">
        <v>342</v>
      </c>
      <c r="N271">
        <v>1</v>
      </c>
      <c r="O271" t="str">
        <f t="shared" si="8"/>
        <v>101-200</v>
      </c>
      <c r="P271" t="str">
        <f>IF(airbnb_data3[[#This Row],[price]]&lt;=100,"Budget",
IF(airbnb_data3[[#This Row],[price]]&lt;=200,"Mid-range",
IF(airbnb_data3[[#This Row],[price]]&lt;=300,"Premium","Luxury")))</f>
        <v>Mid-range</v>
      </c>
      <c r="Q271" t="str">
        <f>IF(airbnb_data3[[#This Row],[availability_365]]&lt;=120,"Low Availability",IF(airbnb_data3[[#This Row],[availability_365]]&lt;=240,"Medium Availability","High Availability"))</f>
        <v>High Availability</v>
      </c>
      <c r="R271" s="6" t="str">
        <f t="shared" si="9"/>
        <v>Medium</v>
      </c>
      <c r="S271" s="6" t="str">
        <f>IF(airbnb_data3[[#This Row],[minimum_nights]]&lt;=3,"Short Stay",IF(airbnb_data3[[#This Row],[minimum_nights]]&lt;=7,"Medium Stay","Long Stay"))</f>
        <v>Short Stay</v>
      </c>
    </row>
    <row r="272" spans="1:19" x14ac:dyDescent="0.35">
      <c r="A272" t="s">
        <v>439</v>
      </c>
      <c r="B272" t="s">
        <v>440</v>
      </c>
      <c r="C272" t="s">
        <v>28</v>
      </c>
      <c r="D272">
        <v>42.642499999999998</v>
      </c>
      <c r="E272">
        <v>-73.758889999999994</v>
      </c>
      <c r="F272" t="s">
        <v>31</v>
      </c>
      <c r="G272">
        <v>69</v>
      </c>
      <c r="H272">
        <v>1</v>
      </c>
      <c r="I272">
        <v>40</v>
      </c>
      <c r="J272" s="1">
        <v>45883</v>
      </c>
      <c r="K272">
        <v>1.91</v>
      </c>
      <c r="L272">
        <v>1</v>
      </c>
      <c r="M272">
        <v>361</v>
      </c>
      <c r="N272">
        <v>6</v>
      </c>
      <c r="O272" t="str">
        <f t="shared" si="8"/>
        <v>0-100</v>
      </c>
      <c r="P272" t="str">
        <f>IF(airbnb_data3[[#This Row],[price]]&lt;=100,"Budget",
IF(airbnb_data3[[#This Row],[price]]&lt;=200,"Mid-range",
IF(airbnb_data3[[#This Row],[price]]&lt;=300,"Premium","Luxury")))</f>
        <v>Budget</v>
      </c>
      <c r="Q272" t="str">
        <f>IF(airbnb_data3[[#This Row],[availability_365]]&lt;=120,"Low Availability",IF(airbnb_data3[[#This Row],[availability_365]]&lt;=240,"Medium Availability","High Availability"))</f>
        <v>High Availability</v>
      </c>
      <c r="R272" s="6" t="str">
        <f t="shared" si="9"/>
        <v>Medium</v>
      </c>
      <c r="S272" s="6" t="str">
        <f>IF(airbnb_data3[[#This Row],[minimum_nights]]&lt;=3,"Short Stay",IF(airbnb_data3[[#This Row],[minimum_nights]]&lt;=7,"Medium Stay","Long Stay"))</f>
        <v>Short Stay</v>
      </c>
    </row>
    <row r="273" spans="1:19" x14ac:dyDescent="0.35">
      <c r="A273" t="s">
        <v>441</v>
      </c>
      <c r="B273" t="s">
        <v>122</v>
      </c>
      <c r="C273" t="s">
        <v>47</v>
      </c>
      <c r="D273">
        <v>42.6651790512174</v>
      </c>
      <c r="E273">
        <v>-73.7926014796559</v>
      </c>
      <c r="F273" t="s">
        <v>31</v>
      </c>
      <c r="G273">
        <v>72</v>
      </c>
      <c r="H273">
        <v>28</v>
      </c>
      <c r="I273">
        <v>1</v>
      </c>
      <c r="J273" s="1">
        <v>45937</v>
      </c>
      <c r="K273">
        <v>0.12</v>
      </c>
      <c r="L273">
        <v>21</v>
      </c>
      <c r="M273">
        <v>304</v>
      </c>
      <c r="N273">
        <v>1</v>
      </c>
      <c r="O273" t="str">
        <f t="shared" si="8"/>
        <v>0-100</v>
      </c>
      <c r="P273" t="str">
        <f>IF(airbnb_data3[[#This Row],[price]]&lt;=100,"Budget",
IF(airbnb_data3[[#This Row],[price]]&lt;=200,"Mid-range",
IF(airbnb_data3[[#This Row],[price]]&lt;=300,"Premium","Luxury")))</f>
        <v>Budget</v>
      </c>
      <c r="Q273" t="str">
        <f>IF(airbnb_data3[[#This Row],[availability_365]]&lt;=120,"Low Availability",IF(airbnb_data3[[#This Row],[availability_365]]&lt;=240,"Medium Availability","High Availability"))</f>
        <v>High Availability</v>
      </c>
      <c r="R273" s="6" t="str">
        <f t="shared" si="9"/>
        <v>Medium</v>
      </c>
      <c r="S273" s="6" t="str">
        <f>IF(airbnb_data3[[#This Row],[minimum_nights]]&lt;=3,"Short Stay",IF(airbnb_data3[[#This Row],[minimum_nights]]&lt;=7,"Medium Stay","Long Stay"))</f>
        <v>Long Stay</v>
      </c>
    </row>
    <row r="274" spans="1:19" x14ac:dyDescent="0.35">
      <c r="A274" t="s">
        <v>442</v>
      </c>
      <c r="B274" t="s">
        <v>443</v>
      </c>
      <c r="C274" t="s">
        <v>84</v>
      </c>
      <c r="D274">
        <v>42.645487391007499</v>
      </c>
      <c r="E274">
        <v>-73.789603215188706</v>
      </c>
      <c r="F274" t="s">
        <v>22</v>
      </c>
      <c r="G274">
        <v>313</v>
      </c>
      <c r="H274">
        <v>4</v>
      </c>
      <c r="I274">
        <v>0</v>
      </c>
      <c r="K274">
        <v>0</v>
      </c>
      <c r="L274">
        <v>1</v>
      </c>
      <c r="M274">
        <v>362</v>
      </c>
      <c r="N274">
        <v>0</v>
      </c>
      <c r="O274" t="str">
        <f t="shared" si="8"/>
        <v>301-500</v>
      </c>
      <c r="P274" t="str">
        <f>IF(airbnb_data3[[#This Row],[price]]&lt;=100,"Budget",
IF(airbnb_data3[[#This Row],[price]]&lt;=200,"Mid-range",
IF(airbnb_data3[[#This Row],[price]]&lt;=300,"Premium","Luxury")))</f>
        <v>Luxury</v>
      </c>
      <c r="Q274" t="str">
        <f>IF(airbnb_data3[[#This Row],[availability_365]]&lt;=120,"Low Availability",IF(airbnb_data3[[#This Row],[availability_365]]&lt;=240,"Medium Availability","High Availability"))</f>
        <v>High Availability</v>
      </c>
      <c r="R274" s="6" t="str">
        <f t="shared" si="9"/>
        <v>Medium</v>
      </c>
      <c r="S274" s="6" t="str">
        <f>IF(airbnb_data3[[#This Row],[minimum_nights]]&lt;=3,"Short Stay",IF(airbnb_data3[[#This Row],[minimum_nights]]&lt;=7,"Medium Stay","Long Stay"))</f>
        <v>Medium Stay</v>
      </c>
    </row>
    <row r="275" spans="1:19" x14ac:dyDescent="0.35">
      <c r="A275" t="s">
        <v>444</v>
      </c>
      <c r="B275" t="s">
        <v>122</v>
      </c>
      <c r="C275" t="s">
        <v>47</v>
      </c>
      <c r="D275">
        <v>42.6655557806953</v>
      </c>
      <c r="E275">
        <v>-73.792697745978302</v>
      </c>
      <c r="F275" t="s">
        <v>31</v>
      </c>
      <c r="G275">
        <v>77</v>
      </c>
      <c r="H275">
        <v>21</v>
      </c>
      <c r="I275">
        <v>1</v>
      </c>
      <c r="J275" s="1">
        <v>45623</v>
      </c>
      <c r="K275">
        <v>0.05</v>
      </c>
      <c r="L275">
        <v>21</v>
      </c>
      <c r="M275">
        <v>358</v>
      </c>
      <c r="N275">
        <v>0</v>
      </c>
      <c r="O275" t="str">
        <f t="shared" si="8"/>
        <v>0-100</v>
      </c>
      <c r="P275" t="str">
        <f>IF(airbnb_data3[[#This Row],[price]]&lt;=100,"Budget",
IF(airbnb_data3[[#This Row],[price]]&lt;=200,"Mid-range",
IF(airbnb_data3[[#This Row],[price]]&lt;=300,"Premium","Luxury")))</f>
        <v>Budget</v>
      </c>
      <c r="Q275" t="str">
        <f>IF(airbnb_data3[[#This Row],[availability_365]]&lt;=120,"Low Availability",IF(airbnb_data3[[#This Row],[availability_365]]&lt;=240,"Medium Availability","High Availability"))</f>
        <v>High Availability</v>
      </c>
      <c r="R275" s="6" t="str">
        <f t="shared" si="9"/>
        <v>Medium</v>
      </c>
      <c r="S275" s="6" t="str">
        <f>IF(airbnb_data3[[#This Row],[minimum_nights]]&lt;=3,"Short Stay",IF(airbnb_data3[[#This Row],[minimum_nights]]&lt;=7,"Medium Stay","Long Stay"))</f>
        <v>Long Stay</v>
      </c>
    </row>
    <row r="276" spans="1:19" x14ac:dyDescent="0.35">
      <c r="A276" t="s">
        <v>445</v>
      </c>
      <c r="B276" t="s">
        <v>182</v>
      </c>
      <c r="C276" t="s">
        <v>25</v>
      </c>
      <c r="D276">
        <v>42.654229768331497</v>
      </c>
      <c r="E276">
        <v>-73.769825773133704</v>
      </c>
      <c r="F276" t="s">
        <v>22</v>
      </c>
      <c r="G276">
        <v>182</v>
      </c>
      <c r="H276">
        <v>1</v>
      </c>
      <c r="I276">
        <v>26</v>
      </c>
      <c r="J276" s="1">
        <v>46172</v>
      </c>
      <c r="K276">
        <v>1.26</v>
      </c>
      <c r="L276">
        <v>16</v>
      </c>
      <c r="M276">
        <v>331</v>
      </c>
      <c r="N276">
        <v>16</v>
      </c>
      <c r="O276" t="str">
        <f t="shared" si="8"/>
        <v>101-200</v>
      </c>
      <c r="P276" t="str">
        <f>IF(airbnb_data3[[#This Row],[price]]&lt;=100,"Budget",
IF(airbnb_data3[[#This Row],[price]]&lt;=200,"Mid-range",
IF(airbnb_data3[[#This Row],[price]]&lt;=300,"Premium","Luxury")))</f>
        <v>Mid-range</v>
      </c>
      <c r="Q276" t="str">
        <f>IF(airbnb_data3[[#This Row],[availability_365]]&lt;=120,"Low Availability",IF(airbnb_data3[[#This Row],[availability_365]]&lt;=240,"Medium Availability","High Availability"))</f>
        <v>High Availability</v>
      </c>
      <c r="R276" s="6" t="str">
        <f t="shared" si="9"/>
        <v>Medium</v>
      </c>
      <c r="S276" s="6" t="str">
        <f>IF(airbnb_data3[[#This Row],[minimum_nights]]&lt;=3,"Short Stay",IF(airbnb_data3[[#This Row],[minimum_nights]]&lt;=7,"Medium Stay","Long Stay"))</f>
        <v>Short Stay</v>
      </c>
    </row>
    <row r="277" spans="1:19" x14ac:dyDescent="0.35">
      <c r="A277" t="s">
        <v>446</v>
      </c>
      <c r="B277" t="s">
        <v>122</v>
      </c>
      <c r="C277" t="s">
        <v>47</v>
      </c>
      <c r="D277">
        <v>42.662260000000003</v>
      </c>
      <c r="E277">
        <v>-73.782210000000006</v>
      </c>
      <c r="F277" t="s">
        <v>31</v>
      </c>
      <c r="G277">
        <v>55</v>
      </c>
      <c r="H277">
        <v>30</v>
      </c>
      <c r="I277">
        <v>0</v>
      </c>
      <c r="K277">
        <v>0</v>
      </c>
      <c r="L277">
        <v>21</v>
      </c>
      <c r="M277">
        <v>161</v>
      </c>
      <c r="N277">
        <v>0</v>
      </c>
      <c r="O277" t="str">
        <f t="shared" si="8"/>
        <v>0-100</v>
      </c>
      <c r="P277" t="str">
        <f>IF(airbnb_data3[[#This Row],[price]]&lt;=100,"Budget",
IF(airbnb_data3[[#This Row],[price]]&lt;=200,"Mid-range",
IF(airbnb_data3[[#This Row],[price]]&lt;=300,"Premium","Luxury")))</f>
        <v>Budget</v>
      </c>
      <c r="Q277" t="str">
        <f>IF(airbnb_data3[[#This Row],[availability_365]]&lt;=120,"Low Availability",IF(airbnb_data3[[#This Row],[availability_365]]&lt;=240,"Medium Availability","High Availability"))</f>
        <v>Medium Availability</v>
      </c>
      <c r="R277" s="6" t="str">
        <f t="shared" si="9"/>
        <v>Medium</v>
      </c>
      <c r="S277" s="6" t="str">
        <f>IF(airbnb_data3[[#This Row],[minimum_nights]]&lt;=3,"Short Stay",IF(airbnb_data3[[#This Row],[minimum_nights]]&lt;=7,"Medium Stay","Long Stay"))</f>
        <v>Long Stay</v>
      </c>
    </row>
    <row r="278" spans="1:19" x14ac:dyDescent="0.35">
      <c r="A278" t="s">
        <v>447</v>
      </c>
      <c r="B278" t="s">
        <v>132</v>
      </c>
      <c r="C278" t="s">
        <v>64</v>
      </c>
      <c r="D278">
        <v>42.647628566664999</v>
      </c>
      <c r="E278">
        <v>-73.767516840618896</v>
      </c>
      <c r="F278" t="s">
        <v>22</v>
      </c>
      <c r="G278">
        <v>263</v>
      </c>
      <c r="H278">
        <v>1</v>
      </c>
      <c r="I278">
        <v>43</v>
      </c>
      <c r="J278" s="1">
        <v>46167</v>
      </c>
      <c r="K278">
        <v>2.11</v>
      </c>
      <c r="L278">
        <v>16</v>
      </c>
      <c r="M278">
        <v>333</v>
      </c>
      <c r="N278">
        <v>16</v>
      </c>
      <c r="O278" t="str">
        <f t="shared" si="8"/>
        <v>201-300</v>
      </c>
      <c r="P278" t="str">
        <f>IF(airbnb_data3[[#This Row],[price]]&lt;=100,"Budget",
IF(airbnb_data3[[#This Row],[price]]&lt;=200,"Mid-range",
IF(airbnb_data3[[#This Row],[price]]&lt;=300,"Premium","Luxury")))</f>
        <v>Premium</v>
      </c>
      <c r="Q278" t="str">
        <f>IF(airbnb_data3[[#This Row],[availability_365]]&lt;=120,"Low Availability",IF(airbnb_data3[[#This Row],[availability_365]]&lt;=240,"Medium Availability","High Availability"))</f>
        <v>High Availability</v>
      </c>
      <c r="R278" s="6" t="str">
        <f t="shared" si="9"/>
        <v>Medium</v>
      </c>
      <c r="S278" s="6" t="str">
        <f>IF(airbnb_data3[[#This Row],[minimum_nights]]&lt;=3,"Short Stay",IF(airbnb_data3[[#This Row],[minimum_nights]]&lt;=7,"Medium Stay","Long Stay"))</f>
        <v>Short Stay</v>
      </c>
    </row>
    <row r="279" spans="1:19" x14ac:dyDescent="0.35">
      <c r="A279" t="s">
        <v>448</v>
      </c>
      <c r="B279" t="s">
        <v>381</v>
      </c>
      <c r="C279" t="s">
        <v>25</v>
      </c>
      <c r="D279">
        <v>42.650046750770599</v>
      </c>
      <c r="E279">
        <v>-73.764021781643507</v>
      </c>
      <c r="F279" t="s">
        <v>22</v>
      </c>
      <c r="G279">
        <v>150</v>
      </c>
      <c r="H279">
        <v>1</v>
      </c>
      <c r="I279">
        <v>6</v>
      </c>
      <c r="J279" s="1">
        <v>45717</v>
      </c>
      <c r="K279">
        <v>0.3</v>
      </c>
      <c r="L279">
        <v>3</v>
      </c>
      <c r="M279">
        <v>246</v>
      </c>
      <c r="N279">
        <v>0</v>
      </c>
      <c r="O279" t="str">
        <f t="shared" si="8"/>
        <v>101-200</v>
      </c>
      <c r="P279" t="str">
        <f>IF(airbnb_data3[[#This Row],[price]]&lt;=100,"Budget",
IF(airbnb_data3[[#This Row],[price]]&lt;=200,"Mid-range",
IF(airbnb_data3[[#This Row],[price]]&lt;=300,"Premium","Luxury")))</f>
        <v>Mid-range</v>
      </c>
      <c r="Q279" t="str">
        <f>IF(airbnb_data3[[#This Row],[availability_365]]&lt;=120,"Low Availability",IF(airbnb_data3[[#This Row],[availability_365]]&lt;=240,"Medium Availability","High Availability"))</f>
        <v>High Availability</v>
      </c>
      <c r="R279" s="6" t="str">
        <f t="shared" si="9"/>
        <v>Medium</v>
      </c>
      <c r="S279" s="6" t="str">
        <f>IF(airbnb_data3[[#This Row],[minimum_nights]]&lt;=3,"Short Stay",IF(airbnb_data3[[#This Row],[minimum_nights]]&lt;=7,"Medium Stay","Long Stay"))</f>
        <v>Short Stay</v>
      </c>
    </row>
    <row r="280" spans="1:19" x14ac:dyDescent="0.35">
      <c r="A280" t="s">
        <v>451</v>
      </c>
      <c r="B280" t="s">
        <v>452</v>
      </c>
      <c r="C280" t="s">
        <v>25</v>
      </c>
      <c r="D280">
        <v>42.651379695051702</v>
      </c>
      <c r="E280">
        <v>-73.769470692120805</v>
      </c>
      <c r="F280" t="s">
        <v>22</v>
      </c>
      <c r="G280">
        <v>145</v>
      </c>
      <c r="H280">
        <v>1</v>
      </c>
      <c r="I280">
        <v>62</v>
      </c>
      <c r="J280" s="1">
        <v>46159</v>
      </c>
      <c r="K280">
        <v>3.14</v>
      </c>
      <c r="L280">
        <v>1</v>
      </c>
      <c r="M280">
        <v>352</v>
      </c>
      <c r="N280">
        <v>45</v>
      </c>
      <c r="O280" t="str">
        <f t="shared" si="8"/>
        <v>101-200</v>
      </c>
      <c r="P280" t="str">
        <f>IF(airbnb_data3[[#This Row],[price]]&lt;=100,"Budget",
IF(airbnb_data3[[#This Row],[price]]&lt;=200,"Mid-range",
IF(airbnb_data3[[#This Row],[price]]&lt;=300,"Premium","Luxury")))</f>
        <v>Mid-range</v>
      </c>
      <c r="Q280" t="str">
        <f>IF(airbnb_data3[[#This Row],[availability_365]]&lt;=120,"Low Availability",IF(airbnb_data3[[#This Row],[availability_365]]&lt;=240,"Medium Availability","High Availability"))</f>
        <v>High Availability</v>
      </c>
      <c r="R280" s="6" t="str">
        <f t="shared" si="9"/>
        <v>Medium</v>
      </c>
      <c r="S280" s="6" t="str">
        <f>IF(airbnb_data3[[#This Row],[minimum_nights]]&lt;=3,"Short Stay",IF(airbnb_data3[[#This Row],[minimum_nights]]&lt;=7,"Medium Stay","Long Stay"))</f>
        <v>Short Stay</v>
      </c>
    </row>
    <row r="281" spans="1:19" x14ac:dyDescent="0.35">
      <c r="A281" t="s">
        <v>455</v>
      </c>
      <c r="B281" t="s">
        <v>426</v>
      </c>
      <c r="C281" t="s">
        <v>21</v>
      </c>
      <c r="D281">
        <v>42.6648753093762</v>
      </c>
      <c r="E281">
        <v>-73.767303390287495</v>
      </c>
      <c r="F281" t="s">
        <v>22</v>
      </c>
      <c r="G281">
        <v>85</v>
      </c>
      <c r="H281">
        <v>1</v>
      </c>
      <c r="I281">
        <v>1</v>
      </c>
      <c r="J281" s="1">
        <v>46125</v>
      </c>
      <c r="K281">
        <v>0.46</v>
      </c>
      <c r="L281">
        <v>8</v>
      </c>
      <c r="M281">
        <v>336</v>
      </c>
      <c r="N281">
        <v>1</v>
      </c>
      <c r="O281" t="str">
        <f t="shared" si="8"/>
        <v>0-100</v>
      </c>
      <c r="P281" t="str">
        <f>IF(airbnb_data3[[#This Row],[price]]&lt;=100,"Budget",
IF(airbnb_data3[[#This Row],[price]]&lt;=200,"Mid-range",
IF(airbnb_data3[[#This Row],[price]]&lt;=300,"Premium","Luxury")))</f>
        <v>Budget</v>
      </c>
      <c r="Q281" t="str">
        <f>IF(airbnb_data3[[#This Row],[availability_365]]&lt;=120,"Low Availability",IF(airbnb_data3[[#This Row],[availability_365]]&lt;=240,"Medium Availability","High Availability"))</f>
        <v>High Availability</v>
      </c>
      <c r="R281" s="6" t="str">
        <f t="shared" si="9"/>
        <v>Medium</v>
      </c>
      <c r="S281" s="6" t="str">
        <f>IF(airbnb_data3[[#This Row],[minimum_nights]]&lt;=3,"Short Stay",IF(airbnb_data3[[#This Row],[minimum_nights]]&lt;=7,"Medium Stay","Long Stay"))</f>
        <v>Short Stay</v>
      </c>
    </row>
    <row r="282" spans="1:19" x14ac:dyDescent="0.35">
      <c r="A282" t="s">
        <v>456</v>
      </c>
      <c r="B282" t="s">
        <v>457</v>
      </c>
      <c r="C282" t="s">
        <v>28</v>
      </c>
      <c r="D282">
        <v>42.6453112779392</v>
      </c>
      <c r="E282">
        <v>-73.757933997208895</v>
      </c>
      <c r="F282" t="s">
        <v>31</v>
      </c>
      <c r="G282">
        <v>52</v>
      </c>
      <c r="H282">
        <v>1</v>
      </c>
      <c r="I282">
        <v>6</v>
      </c>
      <c r="J282" s="1">
        <v>45707</v>
      </c>
      <c r="K282">
        <v>0.3</v>
      </c>
      <c r="L282">
        <v>1</v>
      </c>
      <c r="M282">
        <v>305</v>
      </c>
      <c r="N282">
        <v>0</v>
      </c>
      <c r="O282" t="str">
        <f t="shared" si="8"/>
        <v>0-100</v>
      </c>
      <c r="P282" t="str">
        <f>IF(airbnb_data3[[#This Row],[price]]&lt;=100,"Budget",
IF(airbnb_data3[[#This Row],[price]]&lt;=200,"Mid-range",
IF(airbnb_data3[[#This Row],[price]]&lt;=300,"Premium","Luxury")))</f>
        <v>Budget</v>
      </c>
      <c r="Q282" t="str">
        <f>IF(airbnb_data3[[#This Row],[availability_365]]&lt;=120,"Low Availability",IF(airbnb_data3[[#This Row],[availability_365]]&lt;=240,"Medium Availability","High Availability"))</f>
        <v>High Availability</v>
      </c>
      <c r="R282" s="6" t="str">
        <f t="shared" si="9"/>
        <v>Medium</v>
      </c>
      <c r="S282" s="6" t="str">
        <f>IF(airbnb_data3[[#This Row],[minimum_nights]]&lt;=3,"Short Stay",IF(airbnb_data3[[#This Row],[minimum_nights]]&lt;=7,"Medium Stay","Long Stay"))</f>
        <v>Short Stay</v>
      </c>
    </row>
    <row r="283" spans="1:19" x14ac:dyDescent="0.35">
      <c r="A283" t="s">
        <v>458</v>
      </c>
      <c r="B283" t="s">
        <v>426</v>
      </c>
      <c r="C283" t="s">
        <v>21</v>
      </c>
      <c r="D283">
        <v>42.664093000000001</v>
      </c>
      <c r="E283">
        <v>-73.7679519</v>
      </c>
      <c r="F283" t="s">
        <v>31</v>
      </c>
      <c r="G283">
        <v>36</v>
      </c>
      <c r="H283">
        <v>28</v>
      </c>
      <c r="I283">
        <v>1</v>
      </c>
      <c r="J283" s="1">
        <v>46083</v>
      </c>
      <c r="K283">
        <v>0.28000000000000003</v>
      </c>
      <c r="L283">
        <v>8</v>
      </c>
      <c r="M283">
        <v>297</v>
      </c>
      <c r="N283">
        <v>1</v>
      </c>
      <c r="O283" t="str">
        <f t="shared" si="8"/>
        <v>0-100</v>
      </c>
      <c r="P283" t="str">
        <f>IF(airbnb_data3[[#This Row],[price]]&lt;=100,"Budget",
IF(airbnb_data3[[#This Row],[price]]&lt;=200,"Mid-range",
IF(airbnb_data3[[#This Row],[price]]&lt;=300,"Premium","Luxury")))</f>
        <v>Budget</v>
      </c>
      <c r="Q283" t="str">
        <f>IF(airbnb_data3[[#This Row],[availability_365]]&lt;=120,"Low Availability",IF(airbnb_data3[[#This Row],[availability_365]]&lt;=240,"Medium Availability","High Availability"))</f>
        <v>High Availability</v>
      </c>
      <c r="R283" s="6" t="str">
        <f t="shared" si="9"/>
        <v>Medium</v>
      </c>
      <c r="S283" s="6" t="str">
        <f>IF(airbnb_data3[[#This Row],[minimum_nights]]&lt;=3,"Short Stay",IF(airbnb_data3[[#This Row],[minimum_nights]]&lt;=7,"Medium Stay","Long Stay"))</f>
        <v>Long Stay</v>
      </c>
    </row>
    <row r="284" spans="1:19" x14ac:dyDescent="0.35">
      <c r="A284" t="s">
        <v>459</v>
      </c>
      <c r="B284" t="s">
        <v>460</v>
      </c>
      <c r="C284" t="s">
        <v>91</v>
      </c>
      <c r="D284">
        <v>42.674451428376102</v>
      </c>
      <c r="E284">
        <v>-73.7383570126471</v>
      </c>
      <c r="F284" t="s">
        <v>22</v>
      </c>
      <c r="G284">
        <v>289</v>
      </c>
      <c r="H284">
        <v>1</v>
      </c>
      <c r="I284">
        <v>5</v>
      </c>
      <c r="J284" s="1">
        <v>45941</v>
      </c>
      <c r="K284">
        <v>0.28999999999999998</v>
      </c>
      <c r="L284">
        <v>1</v>
      </c>
      <c r="M284">
        <v>177</v>
      </c>
      <c r="N284">
        <v>2</v>
      </c>
      <c r="O284" t="str">
        <f t="shared" si="8"/>
        <v>201-300</v>
      </c>
      <c r="P284" t="str">
        <f>IF(airbnb_data3[[#This Row],[price]]&lt;=100,"Budget",
IF(airbnb_data3[[#This Row],[price]]&lt;=200,"Mid-range",
IF(airbnb_data3[[#This Row],[price]]&lt;=300,"Premium","Luxury")))</f>
        <v>Premium</v>
      </c>
      <c r="Q284" t="str">
        <f>IF(airbnb_data3[[#This Row],[availability_365]]&lt;=120,"Low Availability",IF(airbnb_data3[[#This Row],[availability_365]]&lt;=240,"Medium Availability","High Availability"))</f>
        <v>Medium Availability</v>
      </c>
      <c r="R284" s="6" t="str">
        <f t="shared" si="9"/>
        <v>Medium</v>
      </c>
      <c r="S284" s="6" t="str">
        <f>IF(airbnb_data3[[#This Row],[minimum_nights]]&lt;=3,"Short Stay",IF(airbnb_data3[[#This Row],[minimum_nights]]&lt;=7,"Medium Stay","Long Stay"))</f>
        <v>Short Stay</v>
      </c>
    </row>
    <row r="285" spans="1:19" x14ac:dyDescent="0.35">
      <c r="A285" t="s">
        <v>461</v>
      </c>
      <c r="B285" t="s">
        <v>259</v>
      </c>
      <c r="C285" t="s">
        <v>51</v>
      </c>
      <c r="D285">
        <v>42.656656284880697</v>
      </c>
      <c r="E285">
        <v>-73.781827054917798</v>
      </c>
      <c r="F285" t="s">
        <v>22</v>
      </c>
      <c r="G285">
        <v>206</v>
      </c>
      <c r="H285">
        <v>1</v>
      </c>
      <c r="I285">
        <v>39</v>
      </c>
      <c r="J285" s="1">
        <v>46097</v>
      </c>
      <c r="K285">
        <v>2.0299999999999998</v>
      </c>
      <c r="L285">
        <v>3</v>
      </c>
      <c r="M285">
        <v>348</v>
      </c>
      <c r="N285">
        <v>10</v>
      </c>
      <c r="O285" t="str">
        <f t="shared" si="8"/>
        <v>201-300</v>
      </c>
      <c r="P285" t="str">
        <f>IF(airbnb_data3[[#This Row],[price]]&lt;=100,"Budget",
IF(airbnb_data3[[#This Row],[price]]&lt;=200,"Mid-range",
IF(airbnb_data3[[#This Row],[price]]&lt;=300,"Premium","Luxury")))</f>
        <v>Premium</v>
      </c>
      <c r="Q285" t="str">
        <f>IF(airbnb_data3[[#This Row],[availability_365]]&lt;=120,"Low Availability",IF(airbnb_data3[[#This Row],[availability_365]]&lt;=240,"Medium Availability","High Availability"))</f>
        <v>High Availability</v>
      </c>
      <c r="R285" s="6" t="str">
        <f t="shared" si="9"/>
        <v>Medium</v>
      </c>
      <c r="S285" s="6" t="str">
        <f>IF(airbnb_data3[[#This Row],[minimum_nights]]&lt;=3,"Short Stay",IF(airbnb_data3[[#This Row],[minimum_nights]]&lt;=7,"Medium Stay","Long Stay"))</f>
        <v>Short Stay</v>
      </c>
    </row>
    <row r="286" spans="1:19" x14ac:dyDescent="0.35">
      <c r="A286" t="s">
        <v>462</v>
      </c>
      <c r="B286" t="s">
        <v>122</v>
      </c>
      <c r="C286" t="s">
        <v>47</v>
      </c>
      <c r="D286">
        <v>42.662297059906003</v>
      </c>
      <c r="E286">
        <v>-73.781755744966802</v>
      </c>
      <c r="F286" t="s">
        <v>31</v>
      </c>
      <c r="G286">
        <v>46</v>
      </c>
      <c r="H286">
        <v>30</v>
      </c>
      <c r="I286">
        <v>0</v>
      </c>
      <c r="K286">
        <v>0</v>
      </c>
      <c r="L286">
        <v>21</v>
      </c>
      <c r="M286">
        <v>132</v>
      </c>
      <c r="N286">
        <v>0</v>
      </c>
      <c r="O286" t="str">
        <f t="shared" si="8"/>
        <v>0-100</v>
      </c>
      <c r="P286" t="str">
        <f>IF(airbnb_data3[[#This Row],[price]]&lt;=100,"Budget",
IF(airbnb_data3[[#This Row],[price]]&lt;=200,"Mid-range",
IF(airbnb_data3[[#This Row],[price]]&lt;=300,"Premium","Luxury")))</f>
        <v>Budget</v>
      </c>
      <c r="Q286" t="str">
        <f>IF(airbnb_data3[[#This Row],[availability_365]]&lt;=120,"Low Availability",IF(airbnb_data3[[#This Row],[availability_365]]&lt;=240,"Medium Availability","High Availability"))</f>
        <v>Medium Availability</v>
      </c>
      <c r="R286" s="6" t="str">
        <f t="shared" si="9"/>
        <v>Medium</v>
      </c>
      <c r="S286" s="6" t="str">
        <f>IF(airbnb_data3[[#This Row],[minimum_nights]]&lt;=3,"Short Stay",IF(airbnb_data3[[#This Row],[minimum_nights]]&lt;=7,"Medium Stay","Long Stay"))</f>
        <v>Long Stay</v>
      </c>
    </row>
    <row r="287" spans="1:19" x14ac:dyDescent="0.35">
      <c r="A287" t="s">
        <v>463</v>
      </c>
      <c r="B287" t="s">
        <v>127</v>
      </c>
      <c r="C287" t="s">
        <v>84</v>
      </c>
      <c r="D287">
        <v>42.645928340632501</v>
      </c>
      <c r="E287">
        <v>-73.7987614116538</v>
      </c>
      <c r="F287" t="s">
        <v>22</v>
      </c>
      <c r="G287">
        <v>155</v>
      </c>
      <c r="H287">
        <v>13</v>
      </c>
      <c r="I287">
        <v>0</v>
      </c>
      <c r="K287">
        <v>0</v>
      </c>
      <c r="L287">
        <v>6</v>
      </c>
      <c r="M287">
        <v>166</v>
      </c>
      <c r="N287">
        <v>0</v>
      </c>
      <c r="O287" t="str">
        <f t="shared" si="8"/>
        <v>101-200</v>
      </c>
      <c r="P287" t="str">
        <f>IF(airbnb_data3[[#This Row],[price]]&lt;=100,"Budget",
IF(airbnb_data3[[#This Row],[price]]&lt;=200,"Mid-range",
IF(airbnb_data3[[#This Row],[price]]&lt;=300,"Premium","Luxury")))</f>
        <v>Mid-range</v>
      </c>
      <c r="Q287" t="str">
        <f>IF(airbnb_data3[[#This Row],[availability_365]]&lt;=120,"Low Availability",IF(airbnb_data3[[#This Row],[availability_365]]&lt;=240,"Medium Availability","High Availability"))</f>
        <v>Medium Availability</v>
      </c>
      <c r="R287" s="6" t="str">
        <f t="shared" si="9"/>
        <v>Medium</v>
      </c>
      <c r="S287" s="6" t="str">
        <f>IF(airbnb_data3[[#This Row],[minimum_nights]]&lt;=3,"Short Stay",IF(airbnb_data3[[#This Row],[minimum_nights]]&lt;=7,"Medium Stay","Long Stay"))</f>
        <v>Long Stay</v>
      </c>
    </row>
    <row r="288" spans="1:19" x14ac:dyDescent="0.35">
      <c r="A288" t="s">
        <v>464</v>
      </c>
      <c r="B288" t="s">
        <v>122</v>
      </c>
      <c r="C288" t="s">
        <v>68</v>
      </c>
      <c r="D288">
        <v>42.663456296808803</v>
      </c>
      <c r="E288">
        <v>-73.781828154410107</v>
      </c>
      <c r="F288" t="s">
        <v>31</v>
      </c>
      <c r="G288">
        <v>71</v>
      </c>
      <c r="H288">
        <v>30</v>
      </c>
      <c r="I288">
        <v>1</v>
      </c>
      <c r="J288" s="1">
        <v>45917</v>
      </c>
      <c r="K288">
        <v>0.11</v>
      </c>
      <c r="L288">
        <v>21</v>
      </c>
      <c r="M288">
        <v>227</v>
      </c>
      <c r="N288">
        <v>1</v>
      </c>
      <c r="O288" t="str">
        <f t="shared" si="8"/>
        <v>0-100</v>
      </c>
      <c r="P288" t="str">
        <f>IF(airbnb_data3[[#This Row],[price]]&lt;=100,"Budget",
IF(airbnb_data3[[#This Row],[price]]&lt;=200,"Mid-range",
IF(airbnb_data3[[#This Row],[price]]&lt;=300,"Premium","Luxury")))</f>
        <v>Budget</v>
      </c>
      <c r="Q288" t="str">
        <f>IF(airbnb_data3[[#This Row],[availability_365]]&lt;=120,"Low Availability",IF(airbnb_data3[[#This Row],[availability_365]]&lt;=240,"Medium Availability","High Availability"))</f>
        <v>Medium Availability</v>
      </c>
      <c r="R288" s="6" t="str">
        <f t="shared" si="9"/>
        <v>High</v>
      </c>
      <c r="S288" s="6" t="str">
        <f>IF(airbnb_data3[[#This Row],[minimum_nights]]&lt;=3,"Short Stay",IF(airbnb_data3[[#This Row],[minimum_nights]]&lt;=7,"Medium Stay","Long Stay"))</f>
        <v>Long Stay</v>
      </c>
    </row>
    <row r="289" spans="1:19" x14ac:dyDescent="0.35">
      <c r="A289" t="s">
        <v>465</v>
      </c>
      <c r="B289" t="s">
        <v>466</v>
      </c>
      <c r="C289" t="s">
        <v>68</v>
      </c>
      <c r="D289">
        <v>42.664345438141098</v>
      </c>
      <c r="E289">
        <v>-73.778745731381093</v>
      </c>
      <c r="F289" t="s">
        <v>31</v>
      </c>
      <c r="G289">
        <v>63</v>
      </c>
      <c r="H289">
        <v>1</v>
      </c>
      <c r="I289">
        <v>11</v>
      </c>
      <c r="J289" s="1">
        <v>45931</v>
      </c>
      <c r="K289">
        <v>0.65</v>
      </c>
      <c r="L289">
        <v>3</v>
      </c>
      <c r="M289">
        <v>226</v>
      </c>
      <c r="N289">
        <v>2</v>
      </c>
      <c r="O289" t="str">
        <f t="shared" si="8"/>
        <v>0-100</v>
      </c>
      <c r="P289" t="str">
        <f>IF(airbnb_data3[[#This Row],[price]]&lt;=100,"Budget",
IF(airbnb_data3[[#This Row],[price]]&lt;=200,"Mid-range",
IF(airbnb_data3[[#This Row],[price]]&lt;=300,"Premium","Luxury")))</f>
        <v>Budget</v>
      </c>
      <c r="Q289" t="str">
        <f>IF(airbnb_data3[[#This Row],[availability_365]]&lt;=120,"Low Availability",IF(airbnb_data3[[#This Row],[availability_365]]&lt;=240,"Medium Availability","High Availability"))</f>
        <v>Medium Availability</v>
      </c>
      <c r="R289" s="6" t="str">
        <f t="shared" si="9"/>
        <v>Medium</v>
      </c>
      <c r="S289" s="6" t="str">
        <f>IF(airbnb_data3[[#This Row],[minimum_nights]]&lt;=3,"Short Stay",IF(airbnb_data3[[#This Row],[minimum_nights]]&lt;=7,"Medium Stay","Long Stay"))</f>
        <v>Short Stay</v>
      </c>
    </row>
    <row r="290" spans="1:19" x14ac:dyDescent="0.35">
      <c r="A290" t="s">
        <v>467</v>
      </c>
      <c r="B290" t="s">
        <v>466</v>
      </c>
      <c r="C290" t="s">
        <v>40</v>
      </c>
      <c r="D290">
        <v>42.662949703412202</v>
      </c>
      <c r="E290">
        <v>-73.778902711568904</v>
      </c>
      <c r="F290" t="s">
        <v>31</v>
      </c>
      <c r="G290">
        <v>63</v>
      </c>
      <c r="H290">
        <v>1</v>
      </c>
      <c r="I290">
        <v>124</v>
      </c>
      <c r="J290" s="1">
        <v>46178</v>
      </c>
      <c r="K290">
        <v>6.61</v>
      </c>
      <c r="L290">
        <v>3</v>
      </c>
      <c r="M290">
        <v>306</v>
      </c>
      <c r="N290">
        <v>80</v>
      </c>
      <c r="O290" t="str">
        <f t="shared" si="8"/>
        <v>0-100</v>
      </c>
      <c r="P290" t="str">
        <f>IF(airbnb_data3[[#This Row],[price]]&lt;=100,"Budget",
IF(airbnb_data3[[#This Row],[price]]&lt;=200,"Mid-range",
IF(airbnb_data3[[#This Row],[price]]&lt;=300,"Premium","Luxury")))</f>
        <v>Budget</v>
      </c>
      <c r="Q290" t="str">
        <f>IF(airbnb_data3[[#This Row],[availability_365]]&lt;=120,"Low Availability",IF(airbnb_data3[[#This Row],[availability_365]]&lt;=240,"Medium Availability","High Availability"))</f>
        <v>High Availability</v>
      </c>
      <c r="R290" s="6" t="str">
        <f t="shared" si="9"/>
        <v>Medium</v>
      </c>
      <c r="S290" s="6" t="str">
        <f>IF(airbnb_data3[[#This Row],[minimum_nights]]&lt;=3,"Short Stay",IF(airbnb_data3[[#This Row],[minimum_nights]]&lt;=7,"Medium Stay","Long Stay"))</f>
        <v>Short Stay</v>
      </c>
    </row>
    <row r="291" spans="1:19" x14ac:dyDescent="0.35">
      <c r="A291" t="s">
        <v>468</v>
      </c>
      <c r="B291" t="s">
        <v>87</v>
      </c>
      <c r="C291" t="s">
        <v>28</v>
      </c>
      <c r="D291">
        <v>42.644412072686499</v>
      </c>
      <c r="E291">
        <v>-73.752266736339394</v>
      </c>
      <c r="F291" t="s">
        <v>22</v>
      </c>
      <c r="G291">
        <v>230</v>
      </c>
      <c r="H291">
        <v>1</v>
      </c>
      <c r="I291">
        <v>58</v>
      </c>
      <c r="J291" s="1">
        <v>46159</v>
      </c>
      <c r="K291">
        <v>3.27</v>
      </c>
      <c r="L291">
        <v>11</v>
      </c>
      <c r="M291">
        <v>350</v>
      </c>
      <c r="N291">
        <v>37</v>
      </c>
      <c r="O291" t="str">
        <f t="shared" si="8"/>
        <v>201-300</v>
      </c>
      <c r="P291" t="str">
        <f>IF(airbnb_data3[[#This Row],[price]]&lt;=100,"Budget",
IF(airbnb_data3[[#This Row],[price]]&lt;=200,"Mid-range",
IF(airbnb_data3[[#This Row],[price]]&lt;=300,"Premium","Luxury")))</f>
        <v>Premium</v>
      </c>
      <c r="Q291" t="str">
        <f>IF(airbnb_data3[[#This Row],[availability_365]]&lt;=120,"Low Availability",IF(airbnb_data3[[#This Row],[availability_365]]&lt;=240,"Medium Availability","High Availability"))</f>
        <v>High Availability</v>
      </c>
      <c r="R291" s="6" t="str">
        <f t="shared" si="9"/>
        <v>Medium</v>
      </c>
      <c r="S291" s="6" t="str">
        <f>IF(airbnb_data3[[#This Row],[minimum_nights]]&lt;=3,"Short Stay",IF(airbnb_data3[[#This Row],[minimum_nights]]&lt;=7,"Medium Stay","Long Stay"))</f>
        <v>Short Stay</v>
      </c>
    </row>
    <row r="292" spans="1:19" x14ac:dyDescent="0.35">
      <c r="A292" t="s">
        <v>469</v>
      </c>
      <c r="B292" t="s">
        <v>122</v>
      </c>
      <c r="C292" t="s">
        <v>47</v>
      </c>
      <c r="D292">
        <v>42.662998945568603</v>
      </c>
      <c r="E292">
        <v>-73.782555853199199</v>
      </c>
      <c r="F292" t="s">
        <v>31</v>
      </c>
      <c r="G292">
        <v>72</v>
      </c>
      <c r="H292">
        <v>28</v>
      </c>
      <c r="I292">
        <v>1</v>
      </c>
      <c r="J292" s="1">
        <v>45882</v>
      </c>
      <c r="K292">
        <v>0.1</v>
      </c>
      <c r="L292">
        <v>21</v>
      </c>
      <c r="M292">
        <v>177</v>
      </c>
      <c r="N292">
        <v>1</v>
      </c>
      <c r="O292" t="str">
        <f t="shared" si="8"/>
        <v>0-100</v>
      </c>
      <c r="P292" t="str">
        <f>IF(airbnb_data3[[#This Row],[price]]&lt;=100,"Budget",
IF(airbnb_data3[[#This Row],[price]]&lt;=200,"Mid-range",
IF(airbnb_data3[[#This Row],[price]]&lt;=300,"Premium","Luxury")))</f>
        <v>Budget</v>
      </c>
      <c r="Q292" t="str">
        <f>IF(airbnb_data3[[#This Row],[availability_365]]&lt;=120,"Low Availability",IF(airbnb_data3[[#This Row],[availability_365]]&lt;=240,"Medium Availability","High Availability"))</f>
        <v>Medium Availability</v>
      </c>
      <c r="R292" s="6" t="str">
        <f t="shared" si="9"/>
        <v>Medium</v>
      </c>
      <c r="S292" s="6" t="str">
        <f>IF(airbnb_data3[[#This Row],[minimum_nights]]&lt;=3,"Short Stay",IF(airbnb_data3[[#This Row],[minimum_nights]]&lt;=7,"Medium Stay","Long Stay"))</f>
        <v>Long Stay</v>
      </c>
    </row>
    <row r="293" spans="1:19" x14ac:dyDescent="0.35">
      <c r="A293" t="s">
        <v>470</v>
      </c>
      <c r="B293" t="s">
        <v>122</v>
      </c>
      <c r="C293" t="s">
        <v>47</v>
      </c>
      <c r="D293">
        <v>42.662399466796899</v>
      </c>
      <c r="E293">
        <v>-73.782712601074493</v>
      </c>
      <c r="F293" t="s">
        <v>31</v>
      </c>
      <c r="G293">
        <v>71</v>
      </c>
      <c r="H293">
        <v>30</v>
      </c>
      <c r="I293">
        <v>0</v>
      </c>
      <c r="K293">
        <v>0</v>
      </c>
      <c r="L293">
        <v>21</v>
      </c>
      <c r="M293">
        <v>339</v>
      </c>
      <c r="N293">
        <v>0</v>
      </c>
      <c r="O293" t="str">
        <f t="shared" si="8"/>
        <v>0-100</v>
      </c>
      <c r="P293" t="str">
        <f>IF(airbnb_data3[[#This Row],[price]]&lt;=100,"Budget",
IF(airbnb_data3[[#This Row],[price]]&lt;=200,"Mid-range",
IF(airbnb_data3[[#This Row],[price]]&lt;=300,"Premium","Luxury")))</f>
        <v>Budget</v>
      </c>
      <c r="Q293" t="str">
        <f>IF(airbnb_data3[[#This Row],[availability_365]]&lt;=120,"Low Availability",IF(airbnb_data3[[#This Row],[availability_365]]&lt;=240,"Medium Availability","High Availability"))</f>
        <v>High Availability</v>
      </c>
      <c r="R293" s="6" t="str">
        <f t="shared" si="9"/>
        <v>Medium</v>
      </c>
      <c r="S293" s="6" t="str">
        <f>IF(airbnb_data3[[#This Row],[minimum_nights]]&lt;=3,"Short Stay",IF(airbnb_data3[[#This Row],[minimum_nights]]&lt;=7,"Medium Stay","Long Stay"))</f>
        <v>Long Stay</v>
      </c>
    </row>
    <row r="294" spans="1:19" x14ac:dyDescent="0.35">
      <c r="A294" t="s">
        <v>471</v>
      </c>
      <c r="B294" t="s">
        <v>466</v>
      </c>
      <c r="C294" t="s">
        <v>40</v>
      </c>
      <c r="D294">
        <v>42.6637589073082</v>
      </c>
      <c r="E294">
        <v>-73.776744067050501</v>
      </c>
      <c r="F294" t="s">
        <v>31</v>
      </c>
      <c r="G294">
        <v>66</v>
      </c>
      <c r="H294">
        <v>1</v>
      </c>
      <c r="I294">
        <v>71</v>
      </c>
      <c r="J294" s="1">
        <v>46164</v>
      </c>
      <c r="K294">
        <v>3.93</v>
      </c>
      <c r="L294">
        <v>3</v>
      </c>
      <c r="M294">
        <v>282</v>
      </c>
      <c r="N294">
        <v>44</v>
      </c>
      <c r="O294" t="str">
        <f t="shared" si="8"/>
        <v>0-100</v>
      </c>
      <c r="P294" t="str">
        <f>IF(airbnb_data3[[#This Row],[price]]&lt;=100,"Budget",
IF(airbnb_data3[[#This Row],[price]]&lt;=200,"Mid-range",
IF(airbnb_data3[[#This Row],[price]]&lt;=300,"Premium","Luxury")))</f>
        <v>Budget</v>
      </c>
      <c r="Q294" t="str">
        <f>IF(airbnb_data3[[#This Row],[availability_365]]&lt;=120,"Low Availability",IF(airbnb_data3[[#This Row],[availability_365]]&lt;=240,"Medium Availability","High Availability"))</f>
        <v>High Availability</v>
      </c>
      <c r="R294" s="6" t="str">
        <f t="shared" si="9"/>
        <v>Medium</v>
      </c>
      <c r="S294" s="6" t="str">
        <f>IF(airbnb_data3[[#This Row],[minimum_nights]]&lt;=3,"Short Stay",IF(airbnb_data3[[#This Row],[minimum_nights]]&lt;=7,"Medium Stay","Long Stay"))</f>
        <v>Short Stay</v>
      </c>
    </row>
    <row r="295" spans="1:19" x14ac:dyDescent="0.35">
      <c r="A295" t="s">
        <v>472</v>
      </c>
      <c r="B295" t="s">
        <v>473</v>
      </c>
      <c r="C295" t="s">
        <v>25</v>
      </c>
      <c r="D295">
        <v>42.653309999999998</v>
      </c>
      <c r="E295">
        <v>-73.769710000000003</v>
      </c>
      <c r="F295" t="s">
        <v>22</v>
      </c>
      <c r="G295">
        <v>95</v>
      </c>
      <c r="H295">
        <v>31</v>
      </c>
      <c r="I295">
        <v>0</v>
      </c>
      <c r="K295">
        <v>0</v>
      </c>
      <c r="L295">
        <v>2</v>
      </c>
      <c r="M295">
        <v>318</v>
      </c>
      <c r="N295">
        <v>0</v>
      </c>
      <c r="O295" t="str">
        <f t="shared" si="8"/>
        <v>0-100</v>
      </c>
      <c r="P295" t="str">
        <f>IF(airbnb_data3[[#This Row],[price]]&lt;=100,"Budget",
IF(airbnb_data3[[#This Row],[price]]&lt;=200,"Mid-range",
IF(airbnb_data3[[#This Row],[price]]&lt;=300,"Premium","Luxury")))</f>
        <v>Budget</v>
      </c>
      <c r="Q295" t="str">
        <f>IF(airbnb_data3[[#This Row],[availability_365]]&lt;=120,"Low Availability",IF(airbnb_data3[[#This Row],[availability_365]]&lt;=240,"Medium Availability","High Availability"))</f>
        <v>High Availability</v>
      </c>
      <c r="R295" s="6" t="str">
        <f t="shared" si="9"/>
        <v>Medium</v>
      </c>
      <c r="S295" s="6" t="str">
        <f>IF(airbnb_data3[[#This Row],[minimum_nights]]&lt;=3,"Short Stay",IF(airbnb_data3[[#This Row],[minimum_nights]]&lt;=7,"Medium Stay","Long Stay"))</f>
        <v>Long Stay</v>
      </c>
    </row>
    <row r="296" spans="1:19" x14ac:dyDescent="0.35">
      <c r="A296" t="s">
        <v>474</v>
      </c>
      <c r="B296" t="s">
        <v>475</v>
      </c>
      <c r="C296" t="s">
        <v>37</v>
      </c>
      <c r="D296">
        <v>42.670778542157798</v>
      </c>
      <c r="E296">
        <v>-73.825250545677207</v>
      </c>
      <c r="F296" t="s">
        <v>22</v>
      </c>
      <c r="G296">
        <v>245</v>
      </c>
      <c r="H296">
        <v>2</v>
      </c>
      <c r="I296">
        <v>8</v>
      </c>
      <c r="J296" s="1">
        <v>46169</v>
      </c>
      <c r="K296">
        <v>0.56000000000000005</v>
      </c>
      <c r="L296">
        <v>1</v>
      </c>
      <c r="M296">
        <v>171</v>
      </c>
      <c r="N296">
        <v>7</v>
      </c>
      <c r="O296" t="str">
        <f t="shared" si="8"/>
        <v>201-300</v>
      </c>
      <c r="P296" t="str">
        <f>IF(airbnb_data3[[#This Row],[price]]&lt;=100,"Budget",
IF(airbnb_data3[[#This Row],[price]]&lt;=200,"Mid-range",
IF(airbnb_data3[[#This Row],[price]]&lt;=300,"Premium","Luxury")))</f>
        <v>Premium</v>
      </c>
      <c r="Q296" t="str">
        <f>IF(airbnb_data3[[#This Row],[availability_365]]&lt;=120,"Low Availability",IF(airbnb_data3[[#This Row],[availability_365]]&lt;=240,"Medium Availability","High Availability"))</f>
        <v>Medium Availability</v>
      </c>
      <c r="R296" s="6" t="str">
        <f t="shared" si="9"/>
        <v>Medium</v>
      </c>
      <c r="S296" s="6" t="str">
        <f>IF(airbnb_data3[[#This Row],[minimum_nights]]&lt;=3,"Short Stay",IF(airbnb_data3[[#This Row],[minimum_nights]]&lt;=7,"Medium Stay","Long Stay"))</f>
        <v>Short Stay</v>
      </c>
    </row>
    <row r="297" spans="1:19" x14ac:dyDescent="0.35">
      <c r="A297" t="s">
        <v>476</v>
      </c>
      <c r="B297" t="s">
        <v>477</v>
      </c>
      <c r="C297" t="s">
        <v>25</v>
      </c>
      <c r="D297">
        <v>42.650149999999996</v>
      </c>
      <c r="E297">
        <v>-73.763369999999995</v>
      </c>
      <c r="F297" t="s">
        <v>22</v>
      </c>
      <c r="G297">
        <v>196</v>
      </c>
      <c r="H297">
        <v>2</v>
      </c>
      <c r="I297">
        <v>54</v>
      </c>
      <c r="J297" s="1">
        <v>46188</v>
      </c>
      <c r="K297">
        <v>3.27</v>
      </c>
      <c r="L297">
        <v>1</v>
      </c>
      <c r="M297">
        <v>254</v>
      </c>
      <c r="N297">
        <v>42</v>
      </c>
      <c r="O297" t="str">
        <f t="shared" si="8"/>
        <v>101-200</v>
      </c>
      <c r="P297" t="str">
        <f>IF(airbnb_data3[[#This Row],[price]]&lt;=100,"Budget",
IF(airbnb_data3[[#This Row],[price]]&lt;=200,"Mid-range",
IF(airbnb_data3[[#This Row],[price]]&lt;=300,"Premium","Luxury")))</f>
        <v>Mid-range</v>
      </c>
      <c r="Q297" t="str">
        <f>IF(airbnb_data3[[#This Row],[availability_365]]&lt;=120,"Low Availability",IF(airbnb_data3[[#This Row],[availability_365]]&lt;=240,"Medium Availability","High Availability"))</f>
        <v>High Availability</v>
      </c>
      <c r="R297" s="6" t="str">
        <f t="shared" si="9"/>
        <v>Medium</v>
      </c>
      <c r="S297" s="6" t="str">
        <f>IF(airbnb_data3[[#This Row],[minimum_nights]]&lt;=3,"Short Stay",IF(airbnb_data3[[#This Row],[minimum_nights]]&lt;=7,"Medium Stay","Long Stay"))</f>
        <v>Short Stay</v>
      </c>
    </row>
    <row r="298" spans="1:19" x14ac:dyDescent="0.35">
      <c r="A298" t="s">
        <v>478</v>
      </c>
      <c r="B298" t="s">
        <v>150</v>
      </c>
      <c r="C298" t="s">
        <v>25</v>
      </c>
      <c r="D298">
        <v>42.652619999999999</v>
      </c>
      <c r="E298">
        <v>-73.761340000000004</v>
      </c>
      <c r="F298" t="s">
        <v>22</v>
      </c>
      <c r="G298">
        <v>161</v>
      </c>
      <c r="H298">
        <v>2</v>
      </c>
      <c r="I298">
        <v>6</v>
      </c>
      <c r="J298" s="1">
        <v>46160</v>
      </c>
      <c r="K298">
        <v>0.38</v>
      </c>
      <c r="L298">
        <v>3</v>
      </c>
      <c r="M298">
        <v>321</v>
      </c>
      <c r="N298">
        <v>2</v>
      </c>
      <c r="O298" t="str">
        <f t="shared" si="8"/>
        <v>101-200</v>
      </c>
      <c r="P298" t="str">
        <f>IF(airbnb_data3[[#This Row],[price]]&lt;=100,"Budget",
IF(airbnb_data3[[#This Row],[price]]&lt;=200,"Mid-range",
IF(airbnb_data3[[#This Row],[price]]&lt;=300,"Premium","Luxury")))</f>
        <v>Mid-range</v>
      </c>
      <c r="Q298" t="str">
        <f>IF(airbnb_data3[[#This Row],[availability_365]]&lt;=120,"Low Availability",IF(airbnb_data3[[#This Row],[availability_365]]&lt;=240,"Medium Availability","High Availability"))</f>
        <v>High Availability</v>
      </c>
      <c r="R298" s="6" t="str">
        <f t="shared" si="9"/>
        <v>Medium</v>
      </c>
      <c r="S298" s="6" t="str">
        <f>IF(airbnb_data3[[#This Row],[minimum_nights]]&lt;=3,"Short Stay",IF(airbnb_data3[[#This Row],[minimum_nights]]&lt;=7,"Medium Stay","Long Stay"))</f>
        <v>Short Stay</v>
      </c>
    </row>
    <row r="299" spans="1:19" x14ac:dyDescent="0.35">
      <c r="A299" t="s">
        <v>479</v>
      </c>
      <c r="B299" t="s">
        <v>473</v>
      </c>
      <c r="C299" t="s">
        <v>25</v>
      </c>
      <c r="D299">
        <v>42.653448073835399</v>
      </c>
      <c r="E299">
        <v>-73.7694285437464</v>
      </c>
      <c r="F299" t="s">
        <v>22</v>
      </c>
      <c r="G299">
        <v>97</v>
      </c>
      <c r="H299">
        <v>31</v>
      </c>
      <c r="I299">
        <v>0</v>
      </c>
      <c r="K299">
        <v>0</v>
      </c>
      <c r="L299">
        <v>2</v>
      </c>
      <c r="M299">
        <v>333</v>
      </c>
      <c r="N299">
        <v>0</v>
      </c>
      <c r="O299" t="str">
        <f t="shared" si="8"/>
        <v>0-100</v>
      </c>
      <c r="P299" t="str">
        <f>IF(airbnb_data3[[#This Row],[price]]&lt;=100,"Budget",
IF(airbnb_data3[[#This Row],[price]]&lt;=200,"Mid-range",
IF(airbnb_data3[[#This Row],[price]]&lt;=300,"Premium","Luxury")))</f>
        <v>Budget</v>
      </c>
      <c r="Q299" t="str">
        <f>IF(airbnb_data3[[#This Row],[availability_365]]&lt;=120,"Low Availability",IF(airbnb_data3[[#This Row],[availability_365]]&lt;=240,"Medium Availability","High Availability"))</f>
        <v>High Availability</v>
      </c>
      <c r="R299" s="6" t="str">
        <f t="shared" si="9"/>
        <v>Medium</v>
      </c>
      <c r="S299" s="6" t="str">
        <f>IF(airbnb_data3[[#This Row],[minimum_nights]]&lt;=3,"Short Stay",IF(airbnb_data3[[#This Row],[minimum_nights]]&lt;=7,"Medium Stay","Long Stay"))</f>
        <v>Long Stay</v>
      </c>
    </row>
    <row r="300" spans="1:19" x14ac:dyDescent="0.35">
      <c r="A300" t="s">
        <v>480</v>
      </c>
      <c r="B300" t="s">
        <v>87</v>
      </c>
      <c r="C300" t="s">
        <v>28</v>
      </c>
      <c r="D300">
        <v>42.644075000583101</v>
      </c>
      <c r="E300">
        <v>-73.754527900558202</v>
      </c>
      <c r="F300" t="s">
        <v>22</v>
      </c>
      <c r="G300">
        <v>229</v>
      </c>
      <c r="H300">
        <v>1</v>
      </c>
      <c r="I300">
        <v>51</v>
      </c>
      <c r="J300" s="1">
        <v>46180</v>
      </c>
      <c r="K300">
        <v>3.45</v>
      </c>
      <c r="L300">
        <v>11</v>
      </c>
      <c r="M300">
        <v>302</v>
      </c>
      <c r="N300">
        <v>41</v>
      </c>
      <c r="O300" t="str">
        <f t="shared" si="8"/>
        <v>201-300</v>
      </c>
      <c r="P300" t="str">
        <f>IF(airbnb_data3[[#This Row],[price]]&lt;=100,"Budget",
IF(airbnb_data3[[#This Row],[price]]&lt;=200,"Mid-range",
IF(airbnb_data3[[#This Row],[price]]&lt;=300,"Premium","Luxury")))</f>
        <v>Premium</v>
      </c>
      <c r="Q300" t="str">
        <f>IF(airbnb_data3[[#This Row],[availability_365]]&lt;=120,"Low Availability",IF(airbnb_data3[[#This Row],[availability_365]]&lt;=240,"Medium Availability","High Availability"))</f>
        <v>High Availability</v>
      </c>
      <c r="R300" s="6" t="str">
        <f t="shared" si="9"/>
        <v>Medium</v>
      </c>
      <c r="S300" s="6" t="str">
        <f>IF(airbnb_data3[[#This Row],[minimum_nights]]&lt;=3,"Short Stay",IF(airbnb_data3[[#This Row],[minimum_nights]]&lt;=7,"Medium Stay","Long Stay"))</f>
        <v>Short Stay</v>
      </c>
    </row>
    <row r="301" spans="1:19" x14ac:dyDescent="0.35">
      <c r="A301" t="s">
        <v>481</v>
      </c>
      <c r="B301" t="s">
        <v>105</v>
      </c>
      <c r="C301" t="s">
        <v>25</v>
      </c>
      <c r="D301">
        <v>42.655664299999998</v>
      </c>
      <c r="E301">
        <v>-73.761885899999996</v>
      </c>
      <c r="F301" t="s">
        <v>22</v>
      </c>
      <c r="G301">
        <v>158</v>
      </c>
      <c r="H301">
        <v>1</v>
      </c>
      <c r="I301">
        <v>17</v>
      </c>
      <c r="J301" s="1">
        <v>46166</v>
      </c>
      <c r="K301">
        <v>1.44</v>
      </c>
      <c r="L301">
        <v>4</v>
      </c>
      <c r="M301">
        <v>361</v>
      </c>
      <c r="N301">
        <v>17</v>
      </c>
      <c r="O301" t="str">
        <f t="shared" si="8"/>
        <v>101-200</v>
      </c>
      <c r="P301" t="str">
        <f>IF(airbnb_data3[[#This Row],[price]]&lt;=100,"Budget",
IF(airbnb_data3[[#This Row],[price]]&lt;=200,"Mid-range",
IF(airbnb_data3[[#This Row],[price]]&lt;=300,"Premium","Luxury")))</f>
        <v>Mid-range</v>
      </c>
      <c r="Q301" t="str">
        <f>IF(airbnb_data3[[#This Row],[availability_365]]&lt;=120,"Low Availability",IF(airbnb_data3[[#This Row],[availability_365]]&lt;=240,"Medium Availability","High Availability"))</f>
        <v>High Availability</v>
      </c>
      <c r="R301" s="6" t="str">
        <f t="shared" si="9"/>
        <v>Medium</v>
      </c>
      <c r="S301" s="6" t="str">
        <f>IF(airbnb_data3[[#This Row],[minimum_nights]]&lt;=3,"Short Stay",IF(airbnb_data3[[#This Row],[minimum_nights]]&lt;=7,"Medium Stay","Long Stay"))</f>
        <v>Short Stay</v>
      </c>
    </row>
    <row r="302" spans="1:19" x14ac:dyDescent="0.35">
      <c r="A302" t="s">
        <v>482</v>
      </c>
      <c r="B302" t="s">
        <v>389</v>
      </c>
      <c r="C302" t="s">
        <v>37</v>
      </c>
      <c r="D302">
        <v>42.670037135469201</v>
      </c>
      <c r="E302">
        <v>-73.823027152316598</v>
      </c>
      <c r="F302" t="s">
        <v>22</v>
      </c>
      <c r="G302">
        <v>371</v>
      </c>
      <c r="H302">
        <v>1</v>
      </c>
      <c r="I302">
        <v>82</v>
      </c>
      <c r="J302" s="1">
        <v>46180</v>
      </c>
      <c r="K302">
        <v>5.0599999999999996</v>
      </c>
      <c r="L302">
        <v>3</v>
      </c>
      <c r="M302">
        <v>337</v>
      </c>
      <c r="N302">
        <v>61</v>
      </c>
      <c r="O302" t="str">
        <f t="shared" si="8"/>
        <v>301-500</v>
      </c>
      <c r="P302" t="str">
        <f>IF(airbnb_data3[[#This Row],[price]]&lt;=100,"Budget",
IF(airbnb_data3[[#This Row],[price]]&lt;=200,"Mid-range",
IF(airbnb_data3[[#This Row],[price]]&lt;=300,"Premium","Luxury")))</f>
        <v>Luxury</v>
      </c>
      <c r="Q302" t="str">
        <f>IF(airbnb_data3[[#This Row],[availability_365]]&lt;=120,"Low Availability",IF(airbnb_data3[[#This Row],[availability_365]]&lt;=240,"Medium Availability","High Availability"))</f>
        <v>High Availability</v>
      </c>
      <c r="R302" s="6" t="str">
        <f t="shared" si="9"/>
        <v>Medium</v>
      </c>
      <c r="S302" s="6" t="str">
        <f>IF(airbnb_data3[[#This Row],[minimum_nights]]&lt;=3,"Short Stay",IF(airbnb_data3[[#This Row],[minimum_nights]]&lt;=7,"Medium Stay","Long Stay"))</f>
        <v>Short Stay</v>
      </c>
    </row>
    <row r="303" spans="1:19" x14ac:dyDescent="0.35">
      <c r="A303" t="s">
        <v>483</v>
      </c>
      <c r="B303" t="s">
        <v>426</v>
      </c>
      <c r="C303" t="s">
        <v>21</v>
      </c>
      <c r="D303">
        <v>42.665263049060499</v>
      </c>
      <c r="E303">
        <v>-73.767160701079504</v>
      </c>
      <c r="F303" t="s">
        <v>22</v>
      </c>
      <c r="G303">
        <v>94</v>
      </c>
      <c r="H303">
        <v>28</v>
      </c>
      <c r="I303">
        <v>0</v>
      </c>
      <c r="K303">
        <v>0</v>
      </c>
      <c r="L303">
        <v>8</v>
      </c>
      <c r="M303">
        <v>346</v>
      </c>
      <c r="N303">
        <v>0</v>
      </c>
      <c r="O303" t="str">
        <f t="shared" si="8"/>
        <v>0-100</v>
      </c>
      <c r="P303" t="str">
        <f>IF(airbnb_data3[[#This Row],[price]]&lt;=100,"Budget",
IF(airbnb_data3[[#This Row],[price]]&lt;=200,"Mid-range",
IF(airbnb_data3[[#This Row],[price]]&lt;=300,"Premium","Luxury")))</f>
        <v>Budget</v>
      </c>
      <c r="Q303" t="str">
        <f>IF(airbnb_data3[[#This Row],[availability_365]]&lt;=120,"Low Availability",IF(airbnb_data3[[#This Row],[availability_365]]&lt;=240,"Medium Availability","High Availability"))</f>
        <v>High Availability</v>
      </c>
      <c r="R303" s="6" t="str">
        <f t="shared" si="9"/>
        <v>Medium</v>
      </c>
      <c r="S303" s="6" t="str">
        <f>IF(airbnb_data3[[#This Row],[minimum_nights]]&lt;=3,"Short Stay",IF(airbnb_data3[[#This Row],[minimum_nights]]&lt;=7,"Medium Stay","Long Stay"))</f>
        <v>Long Stay</v>
      </c>
    </row>
    <row r="304" spans="1:19" x14ac:dyDescent="0.35">
      <c r="A304" t="s">
        <v>484</v>
      </c>
      <c r="B304" t="s">
        <v>485</v>
      </c>
      <c r="C304" t="s">
        <v>68</v>
      </c>
      <c r="D304">
        <v>42.668909999999997</v>
      </c>
      <c r="E304">
        <v>-73.790959999999998</v>
      </c>
      <c r="F304" t="s">
        <v>22</v>
      </c>
      <c r="G304">
        <v>349</v>
      </c>
      <c r="H304">
        <v>1</v>
      </c>
      <c r="I304">
        <v>8</v>
      </c>
      <c r="J304" s="1">
        <v>46103</v>
      </c>
      <c r="K304">
        <v>0.59</v>
      </c>
      <c r="L304">
        <v>1</v>
      </c>
      <c r="M304">
        <v>319</v>
      </c>
      <c r="N304">
        <v>5</v>
      </c>
      <c r="O304" t="str">
        <f t="shared" si="8"/>
        <v>301-500</v>
      </c>
      <c r="P304" t="str">
        <f>IF(airbnb_data3[[#This Row],[price]]&lt;=100,"Budget",
IF(airbnb_data3[[#This Row],[price]]&lt;=200,"Mid-range",
IF(airbnb_data3[[#This Row],[price]]&lt;=300,"Premium","Luxury")))</f>
        <v>Luxury</v>
      </c>
      <c r="Q304" t="str">
        <f>IF(airbnb_data3[[#This Row],[availability_365]]&lt;=120,"Low Availability",IF(airbnb_data3[[#This Row],[availability_365]]&lt;=240,"Medium Availability","High Availability"))</f>
        <v>High Availability</v>
      </c>
      <c r="R304" s="6" t="str">
        <f t="shared" si="9"/>
        <v>Medium</v>
      </c>
      <c r="S304" s="6" t="str">
        <f>IF(airbnb_data3[[#This Row],[minimum_nights]]&lt;=3,"Short Stay",IF(airbnb_data3[[#This Row],[minimum_nights]]&lt;=7,"Medium Stay","Long Stay"))</f>
        <v>Short Stay</v>
      </c>
    </row>
    <row r="305" spans="1:19" x14ac:dyDescent="0.35">
      <c r="A305" t="s">
        <v>486</v>
      </c>
      <c r="B305" t="s">
        <v>381</v>
      </c>
      <c r="C305" t="s">
        <v>84</v>
      </c>
      <c r="D305">
        <v>42.645330146003197</v>
      </c>
      <c r="E305">
        <v>-73.789131045637006</v>
      </c>
      <c r="F305" t="s">
        <v>22</v>
      </c>
      <c r="G305">
        <v>354</v>
      </c>
      <c r="H305">
        <v>2</v>
      </c>
      <c r="I305">
        <v>51</v>
      </c>
      <c r="J305" s="1">
        <v>46167</v>
      </c>
      <c r="K305">
        <v>3.36</v>
      </c>
      <c r="L305">
        <v>1</v>
      </c>
      <c r="M305">
        <v>214</v>
      </c>
      <c r="N305">
        <v>36</v>
      </c>
      <c r="O305" t="str">
        <f t="shared" si="8"/>
        <v>301-500</v>
      </c>
      <c r="P305" t="str">
        <f>IF(airbnb_data3[[#This Row],[price]]&lt;=100,"Budget",
IF(airbnb_data3[[#This Row],[price]]&lt;=200,"Mid-range",
IF(airbnb_data3[[#This Row],[price]]&lt;=300,"Premium","Luxury")))</f>
        <v>Luxury</v>
      </c>
      <c r="Q305" t="str">
        <f>IF(airbnb_data3[[#This Row],[availability_365]]&lt;=120,"Low Availability",IF(airbnb_data3[[#This Row],[availability_365]]&lt;=240,"Medium Availability","High Availability"))</f>
        <v>Medium Availability</v>
      </c>
      <c r="R305" s="6" t="str">
        <f t="shared" si="9"/>
        <v>Medium</v>
      </c>
      <c r="S305" s="6" t="str">
        <f>IF(airbnb_data3[[#This Row],[minimum_nights]]&lt;=3,"Short Stay",IF(airbnb_data3[[#This Row],[minimum_nights]]&lt;=7,"Medium Stay","Long Stay"))</f>
        <v>Short Stay</v>
      </c>
    </row>
    <row r="306" spans="1:19" x14ac:dyDescent="0.35">
      <c r="A306" t="s">
        <v>487</v>
      </c>
      <c r="B306" t="s">
        <v>488</v>
      </c>
      <c r="C306" t="s">
        <v>91</v>
      </c>
      <c r="D306">
        <v>42.661593722653599</v>
      </c>
      <c r="E306">
        <v>-73.754399565118206</v>
      </c>
      <c r="F306" t="s">
        <v>22</v>
      </c>
      <c r="G306">
        <v>149</v>
      </c>
      <c r="H306">
        <v>1</v>
      </c>
      <c r="I306">
        <v>57</v>
      </c>
      <c r="J306" s="1">
        <v>46187</v>
      </c>
      <c r="K306">
        <v>3.74</v>
      </c>
      <c r="L306">
        <v>1</v>
      </c>
      <c r="M306">
        <v>318</v>
      </c>
      <c r="N306">
        <v>48</v>
      </c>
      <c r="O306" t="str">
        <f t="shared" si="8"/>
        <v>101-200</v>
      </c>
      <c r="P306" t="str">
        <f>IF(airbnb_data3[[#This Row],[price]]&lt;=100,"Budget",
IF(airbnb_data3[[#This Row],[price]]&lt;=200,"Mid-range",
IF(airbnb_data3[[#This Row],[price]]&lt;=300,"Premium","Luxury")))</f>
        <v>Mid-range</v>
      </c>
      <c r="Q306" t="str">
        <f>IF(airbnb_data3[[#This Row],[availability_365]]&lt;=120,"Low Availability",IF(airbnb_data3[[#This Row],[availability_365]]&lt;=240,"Medium Availability","High Availability"))</f>
        <v>High Availability</v>
      </c>
      <c r="R306" s="6" t="str">
        <f t="shared" si="9"/>
        <v>Medium</v>
      </c>
      <c r="S306" s="6" t="str">
        <f>IF(airbnb_data3[[#This Row],[minimum_nights]]&lt;=3,"Short Stay",IF(airbnb_data3[[#This Row],[minimum_nights]]&lt;=7,"Medium Stay","Long Stay"))</f>
        <v>Short Stay</v>
      </c>
    </row>
    <row r="307" spans="1:19" x14ac:dyDescent="0.35">
      <c r="A307" t="s">
        <v>489</v>
      </c>
      <c r="B307" t="s">
        <v>299</v>
      </c>
      <c r="C307" t="s">
        <v>54</v>
      </c>
      <c r="D307">
        <v>42.6602362124856</v>
      </c>
      <c r="E307">
        <v>-73.757779949081794</v>
      </c>
      <c r="F307" t="s">
        <v>22</v>
      </c>
      <c r="G307">
        <v>84</v>
      </c>
      <c r="H307">
        <v>14</v>
      </c>
      <c r="I307">
        <v>0</v>
      </c>
      <c r="K307">
        <v>0</v>
      </c>
      <c r="L307">
        <v>4</v>
      </c>
      <c r="M307">
        <v>274</v>
      </c>
      <c r="N307">
        <v>0</v>
      </c>
      <c r="O307" t="str">
        <f t="shared" si="8"/>
        <v>0-100</v>
      </c>
      <c r="P307" t="str">
        <f>IF(airbnb_data3[[#This Row],[price]]&lt;=100,"Budget",
IF(airbnb_data3[[#This Row],[price]]&lt;=200,"Mid-range",
IF(airbnb_data3[[#This Row],[price]]&lt;=300,"Premium","Luxury")))</f>
        <v>Budget</v>
      </c>
      <c r="Q307" t="str">
        <f>IF(airbnb_data3[[#This Row],[availability_365]]&lt;=120,"Low Availability",IF(airbnb_data3[[#This Row],[availability_365]]&lt;=240,"Medium Availability","High Availability"))</f>
        <v>High Availability</v>
      </c>
      <c r="R307" s="6" t="str">
        <f t="shared" si="9"/>
        <v>Medium</v>
      </c>
      <c r="S307" s="6" t="str">
        <f>IF(airbnb_data3[[#This Row],[minimum_nights]]&lt;=3,"Short Stay",IF(airbnb_data3[[#This Row],[minimum_nights]]&lt;=7,"Medium Stay","Long Stay"))</f>
        <v>Long Stay</v>
      </c>
    </row>
    <row r="308" spans="1:19" x14ac:dyDescent="0.35">
      <c r="A308" t="s">
        <v>490</v>
      </c>
      <c r="B308" t="s">
        <v>286</v>
      </c>
      <c r="C308" t="s">
        <v>117</v>
      </c>
      <c r="D308">
        <v>42.639626519419302</v>
      </c>
      <c r="E308">
        <v>-73.773308008159404</v>
      </c>
      <c r="F308" t="s">
        <v>22</v>
      </c>
      <c r="G308">
        <v>273</v>
      </c>
      <c r="H308">
        <v>2</v>
      </c>
      <c r="I308">
        <v>1</v>
      </c>
      <c r="J308" s="1">
        <v>45948</v>
      </c>
      <c r="K308">
        <v>0.12</v>
      </c>
      <c r="L308">
        <v>4</v>
      </c>
      <c r="M308">
        <v>361</v>
      </c>
      <c r="N308">
        <v>1</v>
      </c>
      <c r="O308" t="str">
        <f t="shared" si="8"/>
        <v>201-300</v>
      </c>
      <c r="P308" t="str">
        <f>IF(airbnb_data3[[#This Row],[price]]&lt;=100,"Budget",
IF(airbnb_data3[[#This Row],[price]]&lt;=200,"Mid-range",
IF(airbnb_data3[[#This Row],[price]]&lt;=300,"Premium","Luxury")))</f>
        <v>Premium</v>
      </c>
      <c r="Q308" t="str">
        <f>IF(airbnb_data3[[#This Row],[availability_365]]&lt;=120,"Low Availability",IF(airbnb_data3[[#This Row],[availability_365]]&lt;=240,"Medium Availability","High Availability"))</f>
        <v>High Availability</v>
      </c>
      <c r="R308" s="6" t="str">
        <f t="shared" si="9"/>
        <v>Medium</v>
      </c>
      <c r="S308" s="6" t="str">
        <f>IF(airbnb_data3[[#This Row],[minimum_nights]]&lt;=3,"Short Stay",IF(airbnb_data3[[#This Row],[minimum_nights]]&lt;=7,"Medium Stay","Long Stay"))</f>
        <v>Short Stay</v>
      </c>
    </row>
    <row r="309" spans="1:19" x14ac:dyDescent="0.35">
      <c r="A309" t="s">
        <v>491</v>
      </c>
      <c r="B309" t="s">
        <v>276</v>
      </c>
      <c r="C309" t="s">
        <v>47</v>
      </c>
      <c r="D309">
        <v>42.663154024794601</v>
      </c>
      <c r="E309">
        <v>-73.789101237433499</v>
      </c>
      <c r="F309" t="s">
        <v>22</v>
      </c>
      <c r="G309">
        <v>165</v>
      </c>
      <c r="H309">
        <v>28</v>
      </c>
      <c r="I309">
        <v>1</v>
      </c>
      <c r="J309" s="1">
        <v>45873</v>
      </c>
      <c r="K309">
        <v>0.09</v>
      </c>
      <c r="L309">
        <v>13</v>
      </c>
      <c r="M309">
        <v>169</v>
      </c>
      <c r="N309">
        <v>1</v>
      </c>
      <c r="O309" t="str">
        <f t="shared" si="8"/>
        <v>101-200</v>
      </c>
      <c r="P309" t="str">
        <f>IF(airbnb_data3[[#This Row],[price]]&lt;=100,"Budget",
IF(airbnb_data3[[#This Row],[price]]&lt;=200,"Mid-range",
IF(airbnb_data3[[#This Row],[price]]&lt;=300,"Premium","Luxury")))</f>
        <v>Mid-range</v>
      </c>
      <c r="Q309" t="str">
        <f>IF(airbnb_data3[[#This Row],[availability_365]]&lt;=120,"Low Availability",IF(airbnb_data3[[#This Row],[availability_365]]&lt;=240,"Medium Availability","High Availability"))</f>
        <v>Medium Availability</v>
      </c>
      <c r="R309" s="6" t="str">
        <f t="shared" si="9"/>
        <v>Medium</v>
      </c>
      <c r="S309" s="6" t="str">
        <f>IF(airbnb_data3[[#This Row],[minimum_nights]]&lt;=3,"Short Stay",IF(airbnb_data3[[#This Row],[minimum_nights]]&lt;=7,"Medium Stay","Long Stay"))</f>
        <v>Long Stay</v>
      </c>
    </row>
    <row r="310" spans="1:19" x14ac:dyDescent="0.35">
      <c r="A310" t="s">
        <v>492</v>
      </c>
      <c r="B310" t="s">
        <v>493</v>
      </c>
      <c r="C310" t="s">
        <v>25</v>
      </c>
      <c r="D310">
        <v>42.650406026844202</v>
      </c>
      <c r="E310">
        <v>-73.764331850786306</v>
      </c>
      <c r="F310" t="s">
        <v>22</v>
      </c>
      <c r="G310">
        <v>132</v>
      </c>
      <c r="H310">
        <v>1</v>
      </c>
      <c r="I310">
        <v>97</v>
      </c>
      <c r="J310" s="1">
        <v>46188</v>
      </c>
      <c r="K310">
        <v>6.66</v>
      </c>
      <c r="L310">
        <v>1</v>
      </c>
      <c r="M310">
        <v>305</v>
      </c>
      <c r="N310">
        <v>81</v>
      </c>
      <c r="O310" t="str">
        <f t="shared" si="8"/>
        <v>101-200</v>
      </c>
      <c r="P310" t="str">
        <f>IF(airbnb_data3[[#This Row],[price]]&lt;=100,"Budget",
IF(airbnb_data3[[#This Row],[price]]&lt;=200,"Mid-range",
IF(airbnb_data3[[#This Row],[price]]&lt;=300,"Premium","Luxury")))</f>
        <v>Mid-range</v>
      </c>
      <c r="Q310" t="str">
        <f>IF(airbnb_data3[[#This Row],[availability_365]]&lt;=120,"Low Availability",IF(airbnb_data3[[#This Row],[availability_365]]&lt;=240,"Medium Availability","High Availability"))</f>
        <v>High Availability</v>
      </c>
      <c r="R310" s="6" t="str">
        <f t="shared" si="9"/>
        <v>Medium</v>
      </c>
      <c r="S310" s="6" t="str">
        <f>IF(airbnb_data3[[#This Row],[minimum_nights]]&lt;=3,"Short Stay",IF(airbnb_data3[[#This Row],[minimum_nights]]&lt;=7,"Medium Stay","Long Stay"))</f>
        <v>Short Stay</v>
      </c>
    </row>
    <row r="311" spans="1:19" x14ac:dyDescent="0.35">
      <c r="A311" t="s">
        <v>494</v>
      </c>
      <c r="B311" t="s">
        <v>495</v>
      </c>
      <c r="C311" t="s">
        <v>34</v>
      </c>
      <c r="D311">
        <v>42.670569999999998</v>
      </c>
      <c r="E311">
        <v>-73.809389999999993</v>
      </c>
      <c r="F311" t="s">
        <v>22</v>
      </c>
      <c r="G311">
        <v>354</v>
      </c>
      <c r="H311">
        <v>1</v>
      </c>
      <c r="I311">
        <v>38</v>
      </c>
      <c r="J311" s="1">
        <v>46185</v>
      </c>
      <c r="K311">
        <v>3.43</v>
      </c>
      <c r="L311">
        <v>1</v>
      </c>
      <c r="M311">
        <v>287</v>
      </c>
      <c r="N311">
        <v>38</v>
      </c>
      <c r="O311" t="str">
        <f t="shared" si="8"/>
        <v>301-500</v>
      </c>
      <c r="P311" t="str">
        <f>IF(airbnb_data3[[#This Row],[price]]&lt;=100,"Budget",
IF(airbnb_data3[[#This Row],[price]]&lt;=200,"Mid-range",
IF(airbnb_data3[[#This Row],[price]]&lt;=300,"Premium","Luxury")))</f>
        <v>Luxury</v>
      </c>
      <c r="Q311" t="str">
        <f>IF(airbnb_data3[[#This Row],[availability_365]]&lt;=120,"Low Availability",IF(airbnb_data3[[#This Row],[availability_365]]&lt;=240,"Medium Availability","High Availability"))</f>
        <v>High Availability</v>
      </c>
      <c r="R311" s="6" t="str">
        <f t="shared" si="9"/>
        <v>Medium</v>
      </c>
      <c r="S311" s="6" t="str">
        <f>IF(airbnb_data3[[#This Row],[minimum_nights]]&lt;=3,"Short Stay",IF(airbnb_data3[[#This Row],[minimum_nights]]&lt;=7,"Medium Stay","Long Stay"))</f>
        <v>Short Stay</v>
      </c>
    </row>
    <row r="312" spans="1:19" x14ac:dyDescent="0.35">
      <c r="A312" t="s">
        <v>496</v>
      </c>
      <c r="B312" t="s">
        <v>497</v>
      </c>
      <c r="C312" t="s">
        <v>34</v>
      </c>
      <c r="D312">
        <v>42.665984112297203</v>
      </c>
      <c r="E312">
        <v>-73.818800970911894</v>
      </c>
      <c r="F312" t="s">
        <v>22</v>
      </c>
      <c r="G312">
        <v>220</v>
      </c>
      <c r="H312">
        <v>7</v>
      </c>
      <c r="I312">
        <v>3</v>
      </c>
      <c r="J312" s="1">
        <v>45962</v>
      </c>
      <c r="K312">
        <v>0.23</v>
      </c>
      <c r="L312">
        <v>1</v>
      </c>
      <c r="M312">
        <v>68</v>
      </c>
      <c r="N312">
        <v>2</v>
      </c>
      <c r="O312" t="str">
        <f t="shared" si="8"/>
        <v>201-300</v>
      </c>
      <c r="P312" t="str">
        <f>IF(airbnb_data3[[#This Row],[price]]&lt;=100,"Budget",
IF(airbnb_data3[[#This Row],[price]]&lt;=200,"Mid-range",
IF(airbnb_data3[[#This Row],[price]]&lt;=300,"Premium","Luxury")))</f>
        <v>Premium</v>
      </c>
      <c r="Q312" t="str">
        <f>IF(airbnb_data3[[#This Row],[availability_365]]&lt;=120,"Low Availability",IF(airbnb_data3[[#This Row],[availability_365]]&lt;=240,"Medium Availability","High Availability"))</f>
        <v>Low Availability</v>
      </c>
      <c r="R312" s="6" t="str">
        <f t="shared" si="9"/>
        <v>Medium</v>
      </c>
      <c r="S312" s="6" t="str">
        <f>IF(airbnb_data3[[#This Row],[minimum_nights]]&lt;=3,"Short Stay",IF(airbnb_data3[[#This Row],[minimum_nights]]&lt;=7,"Medium Stay","Long Stay"))</f>
        <v>Medium Stay</v>
      </c>
    </row>
    <row r="313" spans="1:19" x14ac:dyDescent="0.35">
      <c r="A313" t="s">
        <v>498</v>
      </c>
      <c r="B313" t="s">
        <v>359</v>
      </c>
      <c r="C313" t="s">
        <v>64</v>
      </c>
      <c r="D313">
        <v>42.647644086043599</v>
      </c>
      <c r="E313">
        <v>-73.771592538366406</v>
      </c>
      <c r="F313" t="s">
        <v>22</v>
      </c>
      <c r="G313">
        <v>148</v>
      </c>
      <c r="H313">
        <v>1</v>
      </c>
      <c r="I313">
        <v>13</v>
      </c>
      <c r="J313" s="1">
        <v>46092</v>
      </c>
      <c r="K313">
        <v>0.88</v>
      </c>
      <c r="L313">
        <v>8</v>
      </c>
      <c r="M313">
        <v>209</v>
      </c>
      <c r="N313">
        <v>11</v>
      </c>
      <c r="O313" t="str">
        <f t="shared" si="8"/>
        <v>101-200</v>
      </c>
      <c r="P313" t="str">
        <f>IF(airbnb_data3[[#This Row],[price]]&lt;=100,"Budget",
IF(airbnb_data3[[#This Row],[price]]&lt;=200,"Mid-range",
IF(airbnb_data3[[#This Row],[price]]&lt;=300,"Premium","Luxury")))</f>
        <v>Mid-range</v>
      </c>
      <c r="Q313" t="str">
        <f>IF(airbnb_data3[[#This Row],[availability_365]]&lt;=120,"Low Availability",IF(airbnb_data3[[#This Row],[availability_365]]&lt;=240,"Medium Availability","High Availability"))</f>
        <v>Medium Availability</v>
      </c>
      <c r="R313" s="6" t="str">
        <f t="shared" si="9"/>
        <v>Medium</v>
      </c>
      <c r="S313" s="6" t="str">
        <f>IF(airbnb_data3[[#This Row],[minimum_nights]]&lt;=3,"Short Stay",IF(airbnb_data3[[#This Row],[minimum_nights]]&lt;=7,"Medium Stay","Long Stay"))</f>
        <v>Short Stay</v>
      </c>
    </row>
    <row r="314" spans="1:19" x14ac:dyDescent="0.35">
      <c r="A314" t="s">
        <v>502</v>
      </c>
      <c r="B314" t="s">
        <v>359</v>
      </c>
      <c r="C314" t="s">
        <v>64</v>
      </c>
      <c r="D314">
        <v>42.646286692808097</v>
      </c>
      <c r="E314">
        <v>-73.771530889140294</v>
      </c>
      <c r="F314" t="s">
        <v>22</v>
      </c>
      <c r="G314">
        <v>148</v>
      </c>
      <c r="H314">
        <v>1</v>
      </c>
      <c r="I314">
        <v>47</v>
      </c>
      <c r="J314" s="1">
        <v>46157</v>
      </c>
      <c r="K314">
        <v>3.12</v>
      </c>
      <c r="L314">
        <v>8</v>
      </c>
      <c r="M314">
        <v>301</v>
      </c>
      <c r="N314">
        <v>38</v>
      </c>
      <c r="O314" t="str">
        <f t="shared" si="8"/>
        <v>101-200</v>
      </c>
      <c r="P314" t="str">
        <f>IF(airbnb_data3[[#This Row],[price]]&lt;=100,"Budget",
IF(airbnb_data3[[#This Row],[price]]&lt;=200,"Mid-range",
IF(airbnb_data3[[#This Row],[price]]&lt;=300,"Premium","Luxury")))</f>
        <v>Mid-range</v>
      </c>
      <c r="Q314" t="str">
        <f>IF(airbnb_data3[[#This Row],[availability_365]]&lt;=120,"Low Availability",IF(airbnb_data3[[#This Row],[availability_365]]&lt;=240,"Medium Availability","High Availability"))</f>
        <v>High Availability</v>
      </c>
      <c r="R314" s="6" t="str">
        <f t="shared" si="9"/>
        <v>Medium</v>
      </c>
      <c r="S314" s="6" t="str">
        <f>IF(airbnb_data3[[#This Row],[minimum_nights]]&lt;=3,"Short Stay",IF(airbnb_data3[[#This Row],[minimum_nights]]&lt;=7,"Medium Stay","Long Stay"))</f>
        <v>Short Stay</v>
      </c>
    </row>
    <row r="315" spans="1:19" x14ac:dyDescent="0.35">
      <c r="A315" t="s">
        <v>503</v>
      </c>
      <c r="B315" t="s">
        <v>504</v>
      </c>
      <c r="C315" t="s">
        <v>40</v>
      </c>
      <c r="D315">
        <v>42.6823168458398</v>
      </c>
      <c r="E315">
        <v>-73.783671562819407</v>
      </c>
      <c r="F315" t="s">
        <v>22</v>
      </c>
      <c r="G315">
        <v>87</v>
      </c>
      <c r="H315">
        <v>1</v>
      </c>
      <c r="I315">
        <v>17</v>
      </c>
      <c r="J315" s="1">
        <v>46088</v>
      </c>
      <c r="K315">
        <v>1.1499999999999999</v>
      </c>
      <c r="L315">
        <v>29</v>
      </c>
      <c r="M315">
        <v>363</v>
      </c>
      <c r="N315">
        <v>11</v>
      </c>
      <c r="O315" t="str">
        <f t="shared" si="8"/>
        <v>0-100</v>
      </c>
      <c r="P315" t="str">
        <f>IF(airbnb_data3[[#This Row],[price]]&lt;=100,"Budget",
IF(airbnb_data3[[#This Row],[price]]&lt;=200,"Mid-range",
IF(airbnb_data3[[#This Row],[price]]&lt;=300,"Premium","Luxury")))</f>
        <v>Budget</v>
      </c>
      <c r="Q315" t="str">
        <f>IF(airbnb_data3[[#This Row],[availability_365]]&lt;=120,"Low Availability",IF(airbnb_data3[[#This Row],[availability_365]]&lt;=240,"Medium Availability","High Availability"))</f>
        <v>High Availability</v>
      </c>
      <c r="R315" s="6" t="str">
        <f t="shared" si="9"/>
        <v>Medium</v>
      </c>
      <c r="S315" s="6" t="str">
        <f>IF(airbnb_data3[[#This Row],[minimum_nights]]&lt;=3,"Short Stay",IF(airbnb_data3[[#This Row],[minimum_nights]]&lt;=7,"Medium Stay","Long Stay"))</f>
        <v>Short Stay</v>
      </c>
    </row>
    <row r="316" spans="1:19" x14ac:dyDescent="0.35">
      <c r="A316" t="s">
        <v>505</v>
      </c>
      <c r="B316" t="s">
        <v>450</v>
      </c>
      <c r="C316" t="s">
        <v>34</v>
      </c>
      <c r="D316">
        <v>42.661909999999999</v>
      </c>
      <c r="E316">
        <v>-73.797441199999994</v>
      </c>
      <c r="F316" t="s">
        <v>22</v>
      </c>
      <c r="G316">
        <v>297</v>
      </c>
      <c r="H316">
        <v>1</v>
      </c>
      <c r="I316">
        <v>62</v>
      </c>
      <c r="J316" s="1">
        <v>46188</v>
      </c>
      <c r="K316">
        <v>5.31</v>
      </c>
      <c r="L316">
        <v>1</v>
      </c>
      <c r="M316">
        <v>356</v>
      </c>
      <c r="N316">
        <v>62</v>
      </c>
      <c r="O316" t="str">
        <f t="shared" si="8"/>
        <v>201-300</v>
      </c>
      <c r="P316" t="str">
        <f>IF(airbnb_data3[[#This Row],[price]]&lt;=100,"Budget",
IF(airbnb_data3[[#This Row],[price]]&lt;=200,"Mid-range",
IF(airbnb_data3[[#This Row],[price]]&lt;=300,"Premium","Luxury")))</f>
        <v>Premium</v>
      </c>
      <c r="Q316" t="str">
        <f>IF(airbnb_data3[[#This Row],[availability_365]]&lt;=120,"Low Availability",IF(airbnb_data3[[#This Row],[availability_365]]&lt;=240,"Medium Availability","High Availability"))</f>
        <v>High Availability</v>
      </c>
      <c r="R316" s="6" t="str">
        <f t="shared" si="9"/>
        <v>Medium</v>
      </c>
      <c r="S316" s="6" t="str">
        <f>IF(airbnb_data3[[#This Row],[minimum_nights]]&lt;=3,"Short Stay",IF(airbnb_data3[[#This Row],[minimum_nights]]&lt;=7,"Medium Stay","Long Stay"))</f>
        <v>Short Stay</v>
      </c>
    </row>
    <row r="317" spans="1:19" x14ac:dyDescent="0.35">
      <c r="A317" t="s">
        <v>507</v>
      </c>
      <c r="B317" t="s">
        <v>508</v>
      </c>
      <c r="C317" t="s">
        <v>51</v>
      </c>
      <c r="D317">
        <v>42.660020000000003</v>
      </c>
      <c r="E317">
        <v>-73.793329999999997</v>
      </c>
      <c r="F317" t="s">
        <v>31</v>
      </c>
      <c r="G317">
        <v>55</v>
      </c>
      <c r="H317">
        <v>8</v>
      </c>
      <c r="I317">
        <v>1</v>
      </c>
      <c r="J317" s="1">
        <v>45792</v>
      </c>
      <c r="K317">
        <v>0.08</v>
      </c>
      <c r="L317">
        <v>3</v>
      </c>
      <c r="M317">
        <v>258</v>
      </c>
      <c r="N317">
        <v>0</v>
      </c>
      <c r="O317" t="str">
        <f t="shared" si="8"/>
        <v>0-100</v>
      </c>
      <c r="P317" t="str">
        <f>IF(airbnb_data3[[#This Row],[price]]&lt;=100,"Budget",
IF(airbnb_data3[[#This Row],[price]]&lt;=200,"Mid-range",
IF(airbnb_data3[[#This Row],[price]]&lt;=300,"Premium","Luxury")))</f>
        <v>Budget</v>
      </c>
      <c r="Q317" t="str">
        <f>IF(airbnb_data3[[#This Row],[availability_365]]&lt;=120,"Low Availability",IF(airbnb_data3[[#This Row],[availability_365]]&lt;=240,"Medium Availability","High Availability"))</f>
        <v>High Availability</v>
      </c>
      <c r="R317" s="6" t="str">
        <f t="shared" si="9"/>
        <v>Medium</v>
      </c>
      <c r="S317" s="6" t="str">
        <f>IF(airbnb_data3[[#This Row],[minimum_nights]]&lt;=3,"Short Stay",IF(airbnb_data3[[#This Row],[minimum_nights]]&lt;=7,"Medium Stay","Long Stay"))</f>
        <v>Long Stay</v>
      </c>
    </row>
    <row r="318" spans="1:19" x14ac:dyDescent="0.35">
      <c r="A318" t="s">
        <v>509</v>
      </c>
      <c r="B318" t="s">
        <v>504</v>
      </c>
      <c r="C318" t="s">
        <v>54</v>
      </c>
      <c r="D318">
        <v>42.6765214854736</v>
      </c>
      <c r="E318">
        <v>-73.781113838439893</v>
      </c>
      <c r="F318" t="s">
        <v>22</v>
      </c>
      <c r="G318">
        <v>88</v>
      </c>
      <c r="H318">
        <v>1</v>
      </c>
      <c r="I318">
        <v>12</v>
      </c>
      <c r="J318" s="1">
        <v>46151</v>
      </c>
      <c r="K318">
        <v>0.84</v>
      </c>
      <c r="L318">
        <v>29</v>
      </c>
      <c r="M318">
        <v>363</v>
      </c>
      <c r="N318">
        <v>10</v>
      </c>
      <c r="O318" t="str">
        <f t="shared" si="8"/>
        <v>0-100</v>
      </c>
      <c r="P318" t="str">
        <f>IF(airbnb_data3[[#This Row],[price]]&lt;=100,"Budget",
IF(airbnb_data3[[#This Row],[price]]&lt;=200,"Mid-range",
IF(airbnb_data3[[#This Row],[price]]&lt;=300,"Premium","Luxury")))</f>
        <v>Budget</v>
      </c>
      <c r="Q318" t="str">
        <f>IF(airbnb_data3[[#This Row],[availability_365]]&lt;=120,"Low Availability",IF(airbnb_data3[[#This Row],[availability_365]]&lt;=240,"Medium Availability","High Availability"))</f>
        <v>High Availability</v>
      </c>
      <c r="R318" s="6" t="str">
        <f t="shared" si="9"/>
        <v>Medium</v>
      </c>
      <c r="S318" s="6" t="str">
        <f>IF(airbnb_data3[[#This Row],[minimum_nights]]&lt;=3,"Short Stay",IF(airbnb_data3[[#This Row],[minimum_nights]]&lt;=7,"Medium Stay","Long Stay"))</f>
        <v>Short Stay</v>
      </c>
    </row>
    <row r="319" spans="1:19" x14ac:dyDescent="0.35">
      <c r="A319" t="s">
        <v>510</v>
      </c>
      <c r="B319" t="s">
        <v>508</v>
      </c>
      <c r="C319" t="s">
        <v>51</v>
      </c>
      <c r="D319">
        <v>42.659475284293897</v>
      </c>
      <c r="E319">
        <v>-73.793681200123302</v>
      </c>
      <c r="F319" t="s">
        <v>31</v>
      </c>
      <c r="G319">
        <v>56</v>
      </c>
      <c r="H319">
        <v>7</v>
      </c>
      <c r="I319">
        <v>5</v>
      </c>
      <c r="J319" s="1">
        <v>46011</v>
      </c>
      <c r="K319">
        <v>0.36</v>
      </c>
      <c r="L319">
        <v>3</v>
      </c>
      <c r="M319">
        <v>271</v>
      </c>
      <c r="N319">
        <v>3</v>
      </c>
      <c r="O319" t="str">
        <f t="shared" si="8"/>
        <v>0-100</v>
      </c>
      <c r="P319" t="str">
        <f>IF(airbnb_data3[[#This Row],[price]]&lt;=100,"Budget",
IF(airbnb_data3[[#This Row],[price]]&lt;=200,"Mid-range",
IF(airbnb_data3[[#This Row],[price]]&lt;=300,"Premium","Luxury")))</f>
        <v>Budget</v>
      </c>
      <c r="Q319" t="str">
        <f>IF(airbnb_data3[[#This Row],[availability_365]]&lt;=120,"Low Availability",IF(airbnb_data3[[#This Row],[availability_365]]&lt;=240,"Medium Availability","High Availability"))</f>
        <v>High Availability</v>
      </c>
      <c r="R319" s="6" t="str">
        <f t="shared" si="9"/>
        <v>Medium</v>
      </c>
      <c r="S319" s="6" t="str">
        <f>IF(airbnb_data3[[#This Row],[minimum_nights]]&lt;=3,"Short Stay",IF(airbnb_data3[[#This Row],[minimum_nights]]&lt;=7,"Medium Stay","Long Stay"))</f>
        <v>Medium Stay</v>
      </c>
    </row>
    <row r="320" spans="1:19" x14ac:dyDescent="0.35">
      <c r="A320" t="s">
        <v>511</v>
      </c>
      <c r="B320" t="s">
        <v>254</v>
      </c>
      <c r="C320" t="s">
        <v>68</v>
      </c>
      <c r="D320">
        <v>42.669917189343998</v>
      </c>
      <c r="E320">
        <v>-73.7863292718624</v>
      </c>
      <c r="F320" t="s">
        <v>31</v>
      </c>
      <c r="G320">
        <v>57</v>
      </c>
      <c r="H320">
        <v>5</v>
      </c>
      <c r="I320">
        <v>4</v>
      </c>
      <c r="J320" s="1">
        <v>46171</v>
      </c>
      <c r="K320">
        <v>0.4</v>
      </c>
      <c r="L320">
        <v>5</v>
      </c>
      <c r="M320">
        <v>319</v>
      </c>
      <c r="N320">
        <v>4</v>
      </c>
      <c r="O320" t="str">
        <f t="shared" si="8"/>
        <v>0-100</v>
      </c>
      <c r="P320" t="str">
        <f>IF(airbnb_data3[[#This Row],[price]]&lt;=100,"Budget",
IF(airbnb_data3[[#This Row],[price]]&lt;=200,"Mid-range",
IF(airbnb_data3[[#This Row],[price]]&lt;=300,"Premium","Luxury")))</f>
        <v>Budget</v>
      </c>
      <c r="Q320" t="str">
        <f>IF(airbnb_data3[[#This Row],[availability_365]]&lt;=120,"Low Availability",IF(airbnb_data3[[#This Row],[availability_365]]&lt;=240,"Medium Availability","High Availability"))</f>
        <v>High Availability</v>
      </c>
      <c r="R320" s="6" t="str">
        <f t="shared" si="9"/>
        <v>Medium</v>
      </c>
      <c r="S320" s="6" t="str">
        <f>IF(airbnb_data3[[#This Row],[minimum_nights]]&lt;=3,"Short Stay",IF(airbnb_data3[[#This Row],[minimum_nights]]&lt;=7,"Medium Stay","Long Stay"))</f>
        <v>Medium Stay</v>
      </c>
    </row>
    <row r="321" spans="1:19" x14ac:dyDescent="0.35">
      <c r="A321" t="s">
        <v>512</v>
      </c>
      <c r="B321" t="s">
        <v>508</v>
      </c>
      <c r="C321" t="s">
        <v>34</v>
      </c>
      <c r="D321">
        <v>42.661116057130798</v>
      </c>
      <c r="E321">
        <v>-73.794081395516301</v>
      </c>
      <c r="F321" t="s">
        <v>31</v>
      </c>
      <c r="G321">
        <v>38</v>
      </c>
      <c r="H321">
        <v>28</v>
      </c>
      <c r="I321">
        <v>3</v>
      </c>
      <c r="J321" s="1">
        <v>45899</v>
      </c>
      <c r="K321">
        <v>0.25</v>
      </c>
      <c r="L321">
        <v>3</v>
      </c>
      <c r="M321">
        <v>257</v>
      </c>
      <c r="N321">
        <v>3</v>
      </c>
      <c r="O321" t="str">
        <f t="shared" si="8"/>
        <v>0-100</v>
      </c>
      <c r="P321" t="str">
        <f>IF(airbnb_data3[[#This Row],[price]]&lt;=100,"Budget",
IF(airbnb_data3[[#This Row],[price]]&lt;=200,"Mid-range",
IF(airbnb_data3[[#This Row],[price]]&lt;=300,"Premium","Luxury")))</f>
        <v>Budget</v>
      </c>
      <c r="Q321" t="str">
        <f>IF(airbnb_data3[[#This Row],[availability_365]]&lt;=120,"Low Availability",IF(airbnb_data3[[#This Row],[availability_365]]&lt;=240,"Medium Availability","High Availability"))</f>
        <v>High Availability</v>
      </c>
      <c r="R321" s="6" t="str">
        <f t="shared" si="9"/>
        <v>Medium</v>
      </c>
      <c r="S321" s="6" t="str">
        <f>IF(airbnb_data3[[#This Row],[minimum_nights]]&lt;=3,"Short Stay",IF(airbnb_data3[[#This Row],[minimum_nights]]&lt;=7,"Medium Stay","Long Stay"))</f>
        <v>Long Stay</v>
      </c>
    </row>
    <row r="322" spans="1:19" x14ac:dyDescent="0.35">
      <c r="A322" t="s">
        <v>513</v>
      </c>
      <c r="B322" t="s">
        <v>426</v>
      </c>
      <c r="C322" t="s">
        <v>47</v>
      </c>
      <c r="D322">
        <v>42.660529099999998</v>
      </c>
      <c r="E322">
        <v>-73.7831549</v>
      </c>
      <c r="F322" t="s">
        <v>22</v>
      </c>
      <c r="G322">
        <v>120</v>
      </c>
      <c r="H322">
        <v>14</v>
      </c>
      <c r="I322">
        <v>2</v>
      </c>
      <c r="J322" s="1">
        <v>45879</v>
      </c>
      <c r="K322">
        <v>0.17</v>
      </c>
      <c r="L322">
        <v>8</v>
      </c>
      <c r="M322">
        <v>359</v>
      </c>
      <c r="N322">
        <v>2</v>
      </c>
      <c r="O322" t="str">
        <f t="shared" ref="O322:O385" si="10">IF(G322&lt;=100,"0-100",
IF(G322&lt;=200,"101-200",
IF(G322&lt;=300,"201-300",
IF(G322&lt;=500,"301-500","500+"))))</f>
        <v>101-200</v>
      </c>
      <c r="P322" t="str">
        <f>IF(airbnb_data3[[#This Row],[price]]&lt;=100,"Budget",
IF(airbnb_data3[[#This Row],[price]]&lt;=200,"Mid-range",
IF(airbnb_data3[[#This Row],[price]]&lt;=300,"Premium","Luxury")))</f>
        <v>Mid-range</v>
      </c>
      <c r="Q322" t="str">
        <f>IF(airbnb_data3[[#This Row],[availability_365]]&lt;=120,"Low Availability",IF(airbnb_data3[[#This Row],[availability_365]]&lt;=240,"Medium Availability","High Availability"))</f>
        <v>High Availability</v>
      </c>
      <c r="R322" s="6" t="str">
        <f t="shared" ref="R322:R385" si="11">IF(R323&lt;=25,"Low",IF(I324&lt;=100,"Medium","High"))</f>
        <v>Medium</v>
      </c>
      <c r="S322" s="6" t="str">
        <f>IF(airbnb_data3[[#This Row],[minimum_nights]]&lt;=3,"Short Stay",IF(airbnb_data3[[#This Row],[minimum_nights]]&lt;=7,"Medium Stay","Long Stay"))</f>
        <v>Long Stay</v>
      </c>
    </row>
    <row r="323" spans="1:19" x14ac:dyDescent="0.35">
      <c r="A323" t="s">
        <v>514</v>
      </c>
      <c r="B323" t="s">
        <v>426</v>
      </c>
      <c r="C323" t="s">
        <v>47</v>
      </c>
      <c r="D323">
        <v>42.659903296506002</v>
      </c>
      <c r="E323">
        <v>-73.782573974358797</v>
      </c>
      <c r="F323" t="s">
        <v>31</v>
      </c>
      <c r="G323">
        <v>36</v>
      </c>
      <c r="H323">
        <v>28</v>
      </c>
      <c r="I323">
        <v>0</v>
      </c>
      <c r="K323">
        <v>0</v>
      </c>
      <c r="L323">
        <v>8</v>
      </c>
      <c r="M323">
        <v>305</v>
      </c>
      <c r="N323">
        <v>0</v>
      </c>
      <c r="O323" t="str">
        <f t="shared" si="10"/>
        <v>0-100</v>
      </c>
      <c r="P323" t="str">
        <f>IF(airbnb_data3[[#This Row],[price]]&lt;=100,"Budget",
IF(airbnb_data3[[#This Row],[price]]&lt;=200,"Mid-range",
IF(airbnb_data3[[#This Row],[price]]&lt;=300,"Premium","Luxury")))</f>
        <v>Budget</v>
      </c>
      <c r="Q323" t="str">
        <f>IF(airbnb_data3[[#This Row],[availability_365]]&lt;=120,"Low Availability",IF(airbnb_data3[[#This Row],[availability_365]]&lt;=240,"Medium Availability","High Availability"))</f>
        <v>High Availability</v>
      </c>
      <c r="R323" s="6" t="str">
        <f t="shared" si="11"/>
        <v>Medium</v>
      </c>
      <c r="S323" s="6" t="str">
        <f>IF(airbnb_data3[[#This Row],[minimum_nights]]&lt;=3,"Short Stay",IF(airbnb_data3[[#This Row],[minimum_nights]]&lt;=7,"Medium Stay","Long Stay"))</f>
        <v>Long Stay</v>
      </c>
    </row>
    <row r="324" spans="1:19" x14ac:dyDescent="0.35">
      <c r="A324" t="s">
        <v>515</v>
      </c>
      <c r="B324" t="s">
        <v>516</v>
      </c>
      <c r="C324" t="s">
        <v>91</v>
      </c>
      <c r="D324">
        <v>42.6722593044463</v>
      </c>
      <c r="E324">
        <v>-73.739051990553804</v>
      </c>
      <c r="F324" t="s">
        <v>22</v>
      </c>
      <c r="G324">
        <v>159</v>
      </c>
      <c r="H324">
        <v>2</v>
      </c>
      <c r="I324">
        <v>7</v>
      </c>
      <c r="J324" s="1">
        <v>46178</v>
      </c>
      <c r="K324">
        <v>0.72</v>
      </c>
      <c r="L324">
        <v>1</v>
      </c>
      <c r="M324">
        <v>57</v>
      </c>
      <c r="N324">
        <v>7</v>
      </c>
      <c r="O324" t="str">
        <f t="shared" si="10"/>
        <v>101-200</v>
      </c>
      <c r="P324" t="str">
        <f>IF(airbnb_data3[[#This Row],[price]]&lt;=100,"Budget",
IF(airbnb_data3[[#This Row],[price]]&lt;=200,"Mid-range",
IF(airbnb_data3[[#This Row],[price]]&lt;=300,"Premium","Luxury")))</f>
        <v>Mid-range</v>
      </c>
      <c r="Q324" t="str">
        <f>IF(airbnb_data3[[#This Row],[availability_365]]&lt;=120,"Low Availability",IF(airbnb_data3[[#This Row],[availability_365]]&lt;=240,"Medium Availability","High Availability"))</f>
        <v>Low Availability</v>
      </c>
      <c r="R324" s="6" t="str">
        <f t="shared" si="11"/>
        <v>Medium</v>
      </c>
      <c r="S324" s="6" t="str">
        <f>IF(airbnb_data3[[#This Row],[minimum_nights]]&lt;=3,"Short Stay",IF(airbnb_data3[[#This Row],[minimum_nights]]&lt;=7,"Medium Stay","Long Stay"))</f>
        <v>Short Stay</v>
      </c>
    </row>
    <row r="325" spans="1:19" x14ac:dyDescent="0.35">
      <c r="A325" t="s">
        <v>517</v>
      </c>
      <c r="B325" t="s">
        <v>518</v>
      </c>
      <c r="C325" t="s">
        <v>21</v>
      </c>
      <c r="D325">
        <v>42.656649999999999</v>
      </c>
      <c r="E325">
        <v>-73.748679999999993</v>
      </c>
      <c r="F325" t="s">
        <v>22</v>
      </c>
      <c r="G325">
        <v>540</v>
      </c>
      <c r="H325">
        <v>2</v>
      </c>
      <c r="I325">
        <v>22</v>
      </c>
      <c r="J325" s="1">
        <v>46170</v>
      </c>
      <c r="K325">
        <v>2.14</v>
      </c>
      <c r="L325">
        <v>1</v>
      </c>
      <c r="M325">
        <v>241</v>
      </c>
      <c r="N325">
        <v>22</v>
      </c>
      <c r="O325" t="str">
        <f t="shared" si="10"/>
        <v>500+</v>
      </c>
      <c r="P325" t="str">
        <f>IF(airbnb_data3[[#This Row],[price]]&lt;=100,"Budget",
IF(airbnb_data3[[#This Row],[price]]&lt;=200,"Mid-range",
IF(airbnb_data3[[#This Row],[price]]&lt;=300,"Premium","Luxury")))</f>
        <v>Luxury</v>
      </c>
      <c r="Q325" t="str">
        <f>IF(airbnb_data3[[#This Row],[availability_365]]&lt;=120,"Low Availability",IF(airbnb_data3[[#This Row],[availability_365]]&lt;=240,"Medium Availability","High Availability"))</f>
        <v>High Availability</v>
      </c>
      <c r="R325" s="6" t="str">
        <f t="shared" si="11"/>
        <v>Medium</v>
      </c>
      <c r="S325" s="6" t="str">
        <f>IF(airbnb_data3[[#This Row],[minimum_nights]]&lt;=3,"Short Stay",IF(airbnb_data3[[#This Row],[minimum_nights]]&lt;=7,"Medium Stay","Long Stay"))</f>
        <v>Short Stay</v>
      </c>
    </row>
    <row r="326" spans="1:19" x14ac:dyDescent="0.35">
      <c r="A326" t="s">
        <v>519</v>
      </c>
      <c r="B326" t="s">
        <v>409</v>
      </c>
      <c r="C326" t="s">
        <v>68</v>
      </c>
      <c r="D326">
        <v>42.669159851758003</v>
      </c>
      <c r="E326">
        <v>-73.785287940569006</v>
      </c>
      <c r="F326" t="s">
        <v>22</v>
      </c>
      <c r="G326">
        <v>259</v>
      </c>
      <c r="H326">
        <v>2</v>
      </c>
      <c r="I326">
        <v>4</v>
      </c>
      <c r="J326" s="1">
        <v>45900</v>
      </c>
      <c r="K326">
        <v>0.36</v>
      </c>
      <c r="L326">
        <v>3</v>
      </c>
      <c r="M326">
        <v>350</v>
      </c>
      <c r="N326">
        <v>4</v>
      </c>
      <c r="O326" t="str">
        <f t="shared" si="10"/>
        <v>201-300</v>
      </c>
      <c r="P326" t="str">
        <f>IF(airbnb_data3[[#This Row],[price]]&lt;=100,"Budget",
IF(airbnb_data3[[#This Row],[price]]&lt;=200,"Mid-range",
IF(airbnb_data3[[#This Row],[price]]&lt;=300,"Premium","Luxury")))</f>
        <v>Premium</v>
      </c>
      <c r="Q326" t="str">
        <f>IF(airbnb_data3[[#This Row],[availability_365]]&lt;=120,"Low Availability",IF(airbnb_data3[[#This Row],[availability_365]]&lt;=240,"Medium Availability","High Availability"))</f>
        <v>High Availability</v>
      </c>
      <c r="R326" s="6" t="str">
        <f t="shared" si="11"/>
        <v>Medium</v>
      </c>
      <c r="S326" s="6" t="str">
        <f>IF(airbnb_data3[[#This Row],[minimum_nights]]&lt;=3,"Short Stay",IF(airbnb_data3[[#This Row],[minimum_nights]]&lt;=7,"Medium Stay","Long Stay"))</f>
        <v>Short Stay</v>
      </c>
    </row>
    <row r="327" spans="1:19" x14ac:dyDescent="0.35">
      <c r="A327" t="s">
        <v>520</v>
      </c>
      <c r="B327" t="s">
        <v>341</v>
      </c>
      <c r="C327" t="s">
        <v>21</v>
      </c>
      <c r="D327">
        <v>42.657920787048802</v>
      </c>
      <c r="E327">
        <v>-73.750265664186898</v>
      </c>
      <c r="F327" t="s">
        <v>22</v>
      </c>
      <c r="G327">
        <v>157</v>
      </c>
      <c r="H327">
        <v>1</v>
      </c>
      <c r="I327">
        <v>1</v>
      </c>
      <c r="J327" s="1">
        <v>46075</v>
      </c>
      <c r="K327">
        <v>0.25</v>
      </c>
      <c r="L327">
        <v>2</v>
      </c>
      <c r="M327">
        <v>110</v>
      </c>
      <c r="N327">
        <v>1</v>
      </c>
      <c r="O327" t="str">
        <f t="shared" si="10"/>
        <v>101-200</v>
      </c>
      <c r="P327" t="str">
        <f>IF(airbnb_data3[[#This Row],[price]]&lt;=100,"Budget",
IF(airbnb_data3[[#This Row],[price]]&lt;=200,"Mid-range",
IF(airbnb_data3[[#This Row],[price]]&lt;=300,"Premium","Luxury")))</f>
        <v>Mid-range</v>
      </c>
      <c r="Q327" t="str">
        <f>IF(airbnb_data3[[#This Row],[availability_365]]&lt;=120,"Low Availability",IF(airbnb_data3[[#This Row],[availability_365]]&lt;=240,"Medium Availability","High Availability"))</f>
        <v>Low Availability</v>
      </c>
      <c r="R327" s="6" t="str">
        <f t="shared" si="11"/>
        <v>Medium</v>
      </c>
      <c r="S327" s="6" t="str">
        <f>IF(airbnb_data3[[#This Row],[minimum_nights]]&lt;=3,"Short Stay",IF(airbnb_data3[[#This Row],[minimum_nights]]&lt;=7,"Medium Stay","Long Stay"))</f>
        <v>Short Stay</v>
      </c>
    </row>
    <row r="328" spans="1:19" x14ac:dyDescent="0.35">
      <c r="A328" t="s">
        <v>521</v>
      </c>
      <c r="B328" t="s">
        <v>504</v>
      </c>
      <c r="C328" t="s">
        <v>40</v>
      </c>
      <c r="D328">
        <v>42.682246872011902</v>
      </c>
      <c r="E328">
        <v>-73.7833838965892</v>
      </c>
      <c r="F328" t="s">
        <v>22</v>
      </c>
      <c r="G328">
        <v>94</v>
      </c>
      <c r="H328">
        <v>1</v>
      </c>
      <c r="I328">
        <v>21</v>
      </c>
      <c r="J328" s="1">
        <v>46171</v>
      </c>
      <c r="K328">
        <v>1.68</v>
      </c>
      <c r="L328">
        <v>29</v>
      </c>
      <c r="M328">
        <v>364</v>
      </c>
      <c r="N328">
        <v>20</v>
      </c>
      <c r="O328" t="str">
        <f t="shared" si="10"/>
        <v>0-100</v>
      </c>
      <c r="P328" t="str">
        <f>IF(airbnb_data3[[#This Row],[price]]&lt;=100,"Budget",
IF(airbnb_data3[[#This Row],[price]]&lt;=200,"Mid-range",
IF(airbnb_data3[[#This Row],[price]]&lt;=300,"Premium","Luxury")))</f>
        <v>Budget</v>
      </c>
      <c r="Q328" t="str">
        <f>IF(airbnb_data3[[#This Row],[availability_365]]&lt;=120,"Low Availability",IF(airbnb_data3[[#This Row],[availability_365]]&lt;=240,"Medium Availability","High Availability"))</f>
        <v>High Availability</v>
      </c>
      <c r="R328" s="6" t="str">
        <f t="shared" si="11"/>
        <v>Medium</v>
      </c>
      <c r="S328" s="6" t="str">
        <f>IF(airbnb_data3[[#This Row],[minimum_nights]]&lt;=3,"Short Stay",IF(airbnb_data3[[#This Row],[minimum_nights]]&lt;=7,"Medium Stay","Long Stay"))</f>
        <v>Short Stay</v>
      </c>
    </row>
    <row r="329" spans="1:19" x14ac:dyDescent="0.35">
      <c r="A329" t="s">
        <v>522</v>
      </c>
      <c r="B329" t="s">
        <v>504</v>
      </c>
      <c r="C329" t="s">
        <v>40</v>
      </c>
      <c r="D329">
        <v>42.6805255653016</v>
      </c>
      <c r="E329">
        <v>-73.785246163893802</v>
      </c>
      <c r="F329" t="s">
        <v>22</v>
      </c>
      <c r="G329">
        <v>85</v>
      </c>
      <c r="H329">
        <v>1</v>
      </c>
      <c r="I329">
        <v>7</v>
      </c>
      <c r="J329" s="1">
        <v>45982</v>
      </c>
      <c r="K329">
        <v>0.62</v>
      </c>
      <c r="L329">
        <v>29</v>
      </c>
      <c r="M329">
        <v>358</v>
      </c>
      <c r="N329">
        <v>7</v>
      </c>
      <c r="O329" t="str">
        <f t="shared" si="10"/>
        <v>0-100</v>
      </c>
      <c r="P329" t="str">
        <f>IF(airbnb_data3[[#This Row],[price]]&lt;=100,"Budget",
IF(airbnb_data3[[#This Row],[price]]&lt;=200,"Mid-range",
IF(airbnb_data3[[#This Row],[price]]&lt;=300,"Premium","Luxury")))</f>
        <v>Budget</v>
      </c>
      <c r="Q329" t="str">
        <f>IF(airbnb_data3[[#This Row],[availability_365]]&lt;=120,"Low Availability",IF(airbnb_data3[[#This Row],[availability_365]]&lt;=240,"Medium Availability","High Availability"))</f>
        <v>High Availability</v>
      </c>
      <c r="R329" s="6" t="str">
        <f t="shared" si="11"/>
        <v>Medium</v>
      </c>
      <c r="S329" s="6" t="str">
        <f>IF(airbnb_data3[[#This Row],[minimum_nights]]&lt;=3,"Short Stay",IF(airbnb_data3[[#This Row],[minimum_nights]]&lt;=7,"Medium Stay","Long Stay"))</f>
        <v>Short Stay</v>
      </c>
    </row>
    <row r="330" spans="1:19" x14ac:dyDescent="0.35">
      <c r="A330" t="s">
        <v>523</v>
      </c>
      <c r="B330" t="s">
        <v>524</v>
      </c>
      <c r="C330" t="s">
        <v>25</v>
      </c>
      <c r="D330">
        <v>42.654226973975703</v>
      </c>
      <c r="E330">
        <v>-73.767203907360695</v>
      </c>
      <c r="F330" t="s">
        <v>22</v>
      </c>
      <c r="G330">
        <v>117</v>
      </c>
      <c r="H330">
        <v>2</v>
      </c>
      <c r="I330">
        <v>29</v>
      </c>
      <c r="J330" s="1">
        <v>46182</v>
      </c>
      <c r="K330">
        <v>2.4300000000000002</v>
      </c>
      <c r="L330">
        <v>2</v>
      </c>
      <c r="M330">
        <v>243</v>
      </c>
      <c r="N330">
        <v>29</v>
      </c>
      <c r="O330" t="str">
        <f t="shared" si="10"/>
        <v>101-200</v>
      </c>
      <c r="P330" t="str">
        <f>IF(airbnb_data3[[#This Row],[price]]&lt;=100,"Budget",
IF(airbnb_data3[[#This Row],[price]]&lt;=200,"Mid-range",
IF(airbnb_data3[[#This Row],[price]]&lt;=300,"Premium","Luxury")))</f>
        <v>Mid-range</v>
      </c>
      <c r="Q330" t="str">
        <f>IF(airbnb_data3[[#This Row],[availability_365]]&lt;=120,"Low Availability",IF(airbnb_data3[[#This Row],[availability_365]]&lt;=240,"Medium Availability","High Availability"))</f>
        <v>High Availability</v>
      </c>
      <c r="R330" s="6" t="str">
        <f t="shared" si="11"/>
        <v>Medium</v>
      </c>
      <c r="S330" s="6" t="str">
        <f>IF(airbnb_data3[[#This Row],[minimum_nights]]&lt;=3,"Short Stay",IF(airbnb_data3[[#This Row],[minimum_nights]]&lt;=7,"Medium Stay","Long Stay"))</f>
        <v>Short Stay</v>
      </c>
    </row>
    <row r="331" spans="1:19" x14ac:dyDescent="0.35">
      <c r="A331" t="s">
        <v>527</v>
      </c>
      <c r="B331" t="s">
        <v>87</v>
      </c>
      <c r="C331" t="s">
        <v>28</v>
      </c>
      <c r="D331">
        <v>42.644390000000001</v>
      </c>
      <c r="E331">
        <v>-73.752960000000002</v>
      </c>
      <c r="F331" t="s">
        <v>22</v>
      </c>
      <c r="G331">
        <v>242</v>
      </c>
      <c r="H331">
        <v>1</v>
      </c>
      <c r="I331">
        <v>35</v>
      </c>
      <c r="J331" s="1">
        <v>46166</v>
      </c>
      <c r="K331">
        <v>2.91</v>
      </c>
      <c r="L331">
        <v>11</v>
      </c>
      <c r="M331">
        <v>167</v>
      </c>
      <c r="N331">
        <v>35</v>
      </c>
      <c r="O331" t="str">
        <f t="shared" si="10"/>
        <v>201-300</v>
      </c>
      <c r="P331" t="str">
        <f>IF(airbnb_data3[[#This Row],[price]]&lt;=100,"Budget",
IF(airbnb_data3[[#This Row],[price]]&lt;=200,"Mid-range",
IF(airbnb_data3[[#This Row],[price]]&lt;=300,"Premium","Luxury")))</f>
        <v>Premium</v>
      </c>
      <c r="Q331" t="str">
        <f>IF(airbnb_data3[[#This Row],[availability_365]]&lt;=120,"Low Availability",IF(airbnb_data3[[#This Row],[availability_365]]&lt;=240,"Medium Availability","High Availability"))</f>
        <v>Medium Availability</v>
      </c>
      <c r="R331" s="6" t="str">
        <f t="shared" si="11"/>
        <v>Medium</v>
      </c>
      <c r="S331" s="6" t="str">
        <f>IF(airbnb_data3[[#This Row],[minimum_nights]]&lt;=3,"Short Stay",IF(airbnb_data3[[#This Row],[minimum_nights]]&lt;=7,"Medium Stay","Long Stay"))</f>
        <v>Short Stay</v>
      </c>
    </row>
    <row r="332" spans="1:19" x14ac:dyDescent="0.35">
      <c r="A332" t="s">
        <v>528</v>
      </c>
      <c r="B332" t="s">
        <v>529</v>
      </c>
      <c r="C332" t="s">
        <v>47</v>
      </c>
      <c r="D332">
        <v>42.660350000000001</v>
      </c>
      <c r="E332">
        <v>-73.782960000000003</v>
      </c>
      <c r="F332" t="s">
        <v>31</v>
      </c>
      <c r="G332">
        <v>44</v>
      </c>
      <c r="H332">
        <v>3</v>
      </c>
      <c r="I332">
        <v>2</v>
      </c>
      <c r="J332" s="1">
        <v>45868</v>
      </c>
      <c r="K332">
        <v>0.17</v>
      </c>
      <c r="L332">
        <v>1</v>
      </c>
      <c r="M332">
        <v>365</v>
      </c>
      <c r="N332">
        <v>2</v>
      </c>
      <c r="O332" t="str">
        <f t="shared" si="10"/>
        <v>0-100</v>
      </c>
      <c r="P332" t="str">
        <f>IF(airbnb_data3[[#This Row],[price]]&lt;=100,"Budget",
IF(airbnb_data3[[#This Row],[price]]&lt;=200,"Mid-range",
IF(airbnb_data3[[#This Row],[price]]&lt;=300,"Premium","Luxury")))</f>
        <v>Budget</v>
      </c>
      <c r="Q332" t="str">
        <f>IF(airbnb_data3[[#This Row],[availability_365]]&lt;=120,"Low Availability",IF(airbnb_data3[[#This Row],[availability_365]]&lt;=240,"Medium Availability","High Availability"))</f>
        <v>High Availability</v>
      </c>
      <c r="R332" s="6" t="str">
        <f t="shared" si="11"/>
        <v>Medium</v>
      </c>
      <c r="S332" s="6" t="str">
        <f>IF(airbnb_data3[[#This Row],[minimum_nights]]&lt;=3,"Short Stay",IF(airbnb_data3[[#This Row],[minimum_nights]]&lt;=7,"Medium Stay","Long Stay"))</f>
        <v>Short Stay</v>
      </c>
    </row>
    <row r="333" spans="1:19" x14ac:dyDescent="0.35">
      <c r="A333" t="s">
        <v>530</v>
      </c>
      <c r="B333" t="s">
        <v>409</v>
      </c>
      <c r="C333" t="s">
        <v>68</v>
      </c>
      <c r="D333">
        <v>42.669510000000002</v>
      </c>
      <c r="E333">
        <v>-73.787360000000007</v>
      </c>
      <c r="F333" t="s">
        <v>22</v>
      </c>
      <c r="G333">
        <v>220</v>
      </c>
      <c r="H333">
        <v>2</v>
      </c>
      <c r="I333">
        <v>3</v>
      </c>
      <c r="J333" s="1">
        <v>45989</v>
      </c>
      <c r="K333">
        <v>0.27</v>
      </c>
      <c r="L333">
        <v>3</v>
      </c>
      <c r="M333">
        <v>361</v>
      </c>
      <c r="N333">
        <v>3</v>
      </c>
      <c r="O333" t="str">
        <f t="shared" si="10"/>
        <v>201-300</v>
      </c>
      <c r="P333" t="str">
        <f>IF(airbnb_data3[[#This Row],[price]]&lt;=100,"Budget",
IF(airbnb_data3[[#This Row],[price]]&lt;=200,"Mid-range",
IF(airbnb_data3[[#This Row],[price]]&lt;=300,"Premium","Luxury")))</f>
        <v>Premium</v>
      </c>
      <c r="Q333" t="str">
        <f>IF(airbnb_data3[[#This Row],[availability_365]]&lt;=120,"Low Availability",IF(airbnb_data3[[#This Row],[availability_365]]&lt;=240,"Medium Availability","High Availability"))</f>
        <v>High Availability</v>
      </c>
      <c r="R333" s="6" t="str">
        <f t="shared" si="11"/>
        <v>Medium</v>
      </c>
      <c r="S333" s="6" t="str">
        <f>IF(airbnb_data3[[#This Row],[minimum_nights]]&lt;=3,"Short Stay",IF(airbnb_data3[[#This Row],[minimum_nights]]&lt;=7,"Medium Stay","Long Stay"))</f>
        <v>Short Stay</v>
      </c>
    </row>
    <row r="334" spans="1:19" x14ac:dyDescent="0.35">
      <c r="A334" t="s">
        <v>531</v>
      </c>
      <c r="B334" t="s">
        <v>87</v>
      </c>
      <c r="C334" t="s">
        <v>28</v>
      </c>
      <c r="D334">
        <v>42.645870000000002</v>
      </c>
      <c r="E334">
        <v>-73.753559999999993</v>
      </c>
      <c r="F334" t="s">
        <v>22</v>
      </c>
      <c r="G334">
        <v>180</v>
      </c>
      <c r="H334">
        <v>1</v>
      </c>
      <c r="I334">
        <v>15</v>
      </c>
      <c r="J334" s="1">
        <v>46111</v>
      </c>
      <c r="K334">
        <v>1.3</v>
      </c>
      <c r="L334">
        <v>11</v>
      </c>
      <c r="M334">
        <v>353</v>
      </c>
      <c r="N334">
        <v>15</v>
      </c>
      <c r="O334" t="str">
        <f t="shared" si="10"/>
        <v>101-200</v>
      </c>
      <c r="P334" t="str">
        <f>IF(airbnb_data3[[#This Row],[price]]&lt;=100,"Budget",
IF(airbnb_data3[[#This Row],[price]]&lt;=200,"Mid-range",
IF(airbnb_data3[[#This Row],[price]]&lt;=300,"Premium","Luxury")))</f>
        <v>Mid-range</v>
      </c>
      <c r="Q334" t="str">
        <f>IF(airbnb_data3[[#This Row],[availability_365]]&lt;=120,"Low Availability",IF(airbnb_data3[[#This Row],[availability_365]]&lt;=240,"Medium Availability","High Availability"))</f>
        <v>High Availability</v>
      </c>
      <c r="R334" s="6" t="str">
        <f t="shared" si="11"/>
        <v>Medium</v>
      </c>
      <c r="S334" s="6" t="str">
        <f>IF(airbnb_data3[[#This Row],[minimum_nights]]&lt;=3,"Short Stay",IF(airbnb_data3[[#This Row],[minimum_nights]]&lt;=7,"Medium Stay","Long Stay"))</f>
        <v>Short Stay</v>
      </c>
    </row>
    <row r="335" spans="1:19" x14ac:dyDescent="0.35">
      <c r="A335" t="s">
        <v>532</v>
      </c>
      <c r="B335" t="s">
        <v>533</v>
      </c>
      <c r="C335" t="s">
        <v>28</v>
      </c>
      <c r="D335">
        <v>42.645350000000001</v>
      </c>
      <c r="E335">
        <v>-73.756780000000006</v>
      </c>
      <c r="F335" t="s">
        <v>22</v>
      </c>
      <c r="G335">
        <v>75</v>
      </c>
      <c r="H335">
        <v>1</v>
      </c>
      <c r="I335">
        <v>88</v>
      </c>
      <c r="J335" s="1">
        <v>46187</v>
      </c>
      <c r="K335">
        <v>8.07</v>
      </c>
      <c r="L335">
        <v>2</v>
      </c>
      <c r="M335">
        <v>319</v>
      </c>
      <c r="N335">
        <v>88</v>
      </c>
      <c r="O335" t="str">
        <f t="shared" si="10"/>
        <v>0-100</v>
      </c>
      <c r="P335" t="str">
        <f>IF(airbnb_data3[[#This Row],[price]]&lt;=100,"Budget",
IF(airbnb_data3[[#This Row],[price]]&lt;=200,"Mid-range",
IF(airbnb_data3[[#This Row],[price]]&lt;=300,"Premium","Luxury")))</f>
        <v>Budget</v>
      </c>
      <c r="Q335" t="str">
        <f>IF(airbnb_data3[[#This Row],[availability_365]]&lt;=120,"Low Availability",IF(airbnb_data3[[#This Row],[availability_365]]&lt;=240,"Medium Availability","High Availability"))</f>
        <v>High Availability</v>
      </c>
      <c r="R335" s="6" t="str">
        <f t="shared" si="11"/>
        <v>Medium</v>
      </c>
      <c r="S335" s="6" t="str">
        <f>IF(airbnb_data3[[#This Row],[minimum_nights]]&lt;=3,"Short Stay",IF(airbnb_data3[[#This Row],[minimum_nights]]&lt;=7,"Medium Stay","Long Stay"))</f>
        <v>Short Stay</v>
      </c>
    </row>
    <row r="336" spans="1:19" x14ac:dyDescent="0.35">
      <c r="A336" t="s">
        <v>534</v>
      </c>
      <c r="B336" t="s">
        <v>533</v>
      </c>
      <c r="C336" t="s">
        <v>28</v>
      </c>
      <c r="D336">
        <v>42.645104811339401</v>
      </c>
      <c r="E336">
        <v>-73.757121133797099</v>
      </c>
      <c r="F336" t="s">
        <v>22</v>
      </c>
      <c r="G336">
        <v>75</v>
      </c>
      <c r="H336">
        <v>1</v>
      </c>
      <c r="I336">
        <v>84</v>
      </c>
      <c r="J336" s="1">
        <v>46180</v>
      </c>
      <c r="K336">
        <v>7.54</v>
      </c>
      <c r="L336">
        <v>2</v>
      </c>
      <c r="M336">
        <v>323</v>
      </c>
      <c r="N336">
        <v>84</v>
      </c>
      <c r="O336" t="str">
        <f t="shared" si="10"/>
        <v>0-100</v>
      </c>
      <c r="P336" t="str">
        <f>IF(airbnb_data3[[#This Row],[price]]&lt;=100,"Budget",
IF(airbnb_data3[[#This Row],[price]]&lt;=200,"Mid-range",
IF(airbnb_data3[[#This Row],[price]]&lt;=300,"Premium","Luxury")))</f>
        <v>Budget</v>
      </c>
      <c r="Q336" t="str">
        <f>IF(airbnb_data3[[#This Row],[availability_365]]&lt;=120,"Low Availability",IF(airbnb_data3[[#This Row],[availability_365]]&lt;=240,"Medium Availability","High Availability"))</f>
        <v>High Availability</v>
      </c>
      <c r="R336" s="6" t="str">
        <f t="shared" si="11"/>
        <v>Medium</v>
      </c>
      <c r="S336" s="6" t="str">
        <f>IF(airbnb_data3[[#This Row],[minimum_nights]]&lt;=3,"Short Stay",IF(airbnb_data3[[#This Row],[minimum_nights]]&lt;=7,"Medium Stay","Long Stay"))</f>
        <v>Short Stay</v>
      </c>
    </row>
    <row r="337" spans="1:19" x14ac:dyDescent="0.35">
      <c r="A337" t="s">
        <v>538</v>
      </c>
      <c r="B337" t="s">
        <v>252</v>
      </c>
      <c r="C337" t="s">
        <v>51</v>
      </c>
      <c r="D337">
        <v>42.656157800000003</v>
      </c>
      <c r="E337">
        <v>-73.792112599999996</v>
      </c>
      <c r="F337" t="s">
        <v>22</v>
      </c>
      <c r="G337">
        <v>107</v>
      </c>
      <c r="H337">
        <v>31</v>
      </c>
      <c r="I337">
        <v>2</v>
      </c>
      <c r="J337" s="1">
        <v>46083</v>
      </c>
      <c r="K337">
        <v>0.28999999999999998</v>
      </c>
      <c r="L337">
        <v>2</v>
      </c>
      <c r="M337">
        <v>70</v>
      </c>
      <c r="N337">
        <v>2</v>
      </c>
      <c r="O337" t="str">
        <f t="shared" si="10"/>
        <v>101-200</v>
      </c>
      <c r="P337" t="str">
        <f>IF(airbnb_data3[[#This Row],[price]]&lt;=100,"Budget",
IF(airbnb_data3[[#This Row],[price]]&lt;=200,"Mid-range",
IF(airbnb_data3[[#This Row],[price]]&lt;=300,"Premium","Luxury")))</f>
        <v>Mid-range</v>
      </c>
      <c r="Q337" t="str">
        <f>IF(airbnb_data3[[#This Row],[availability_365]]&lt;=120,"Low Availability",IF(airbnb_data3[[#This Row],[availability_365]]&lt;=240,"Medium Availability","High Availability"))</f>
        <v>Low Availability</v>
      </c>
      <c r="R337" s="6" t="str">
        <f t="shared" si="11"/>
        <v>Medium</v>
      </c>
      <c r="S337" s="6" t="str">
        <f>IF(airbnb_data3[[#This Row],[minimum_nights]]&lt;=3,"Short Stay",IF(airbnb_data3[[#This Row],[minimum_nights]]&lt;=7,"Medium Stay","Long Stay"))</f>
        <v>Long Stay</v>
      </c>
    </row>
    <row r="338" spans="1:19" x14ac:dyDescent="0.35">
      <c r="A338" t="s">
        <v>539</v>
      </c>
      <c r="B338" t="s">
        <v>504</v>
      </c>
      <c r="C338" t="s">
        <v>54</v>
      </c>
      <c r="D338">
        <v>42.676189999999998</v>
      </c>
      <c r="E338">
        <v>-73.781210000000002</v>
      </c>
      <c r="F338" t="s">
        <v>22</v>
      </c>
      <c r="G338">
        <v>83</v>
      </c>
      <c r="H338">
        <v>1</v>
      </c>
      <c r="I338">
        <v>3</v>
      </c>
      <c r="J338" s="1">
        <v>46061</v>
      </c>
      <c r="K338">
        <v>0.28000000000000003</v>
      </c>
      <c r="L338">
        <v>29</v>
      </c>
      <c r="M338">
        <v>365</v>
      </c>
      <c r="N338">
        <v>3</v>
      </c>
      <c r="O338" t="str">
        <f t="shared" si="10"/>
        <v>0-100</v>
      </c>
      <c r="P338" t="str">
        <f>IF(airbnb_data3[[#This Row],[price]]&lt;=100,"Budget",
IF(airbnb_data3[[#This Row],[price]]&lt;=200,"Mid-range",
IF(airbnb_data3[[#This Row],[price]]&lt;=300,"Premium","Luxury")))</f>
        <v>Budget</v>
      </c>
      <c r="Q338" t="str">
        <f>IF(airbnb_data3[[#This Row],[availability_365]]&lt;=120,"Low Availability",IF(airbnb_data3[[#This Row],[availability_365]]&lt;=240,"Medium Availability","High Availability"))</f>
        <v>High Availability</v>
      </c>
      <c r="R338" s="6" t="str">
        <f t="shared" si="11"/>
        <v>Medium</v>
      </c>
      <c r="S338" s="6" t="str">
        <f>IF(airbnb_data3[[#This Row],[minimum_nights]]&lt;=3,"Short Stay",IF(airbnb_data3[[#This Row],[minimum_nights]]&lt;=7,"Medium Stay","Long Stay"))</f>
        <v>Short Stay</v>
      </c>
    </row>
    <row r="339" spans="1:19" x14ac:dyDescent="0.35">
      <c r="A339" t="s">
        <v>540</v>
      </c>
      <c r="B339" t="s">
        <v>504</v>
      </c>
      <c r="C339" t="s">
        <v>54</v>
      </c>
      <c r="D339">
        <v>42.676389999999998</v>
      </c>
      <c r="E339">
        <v>-73.780860000000004</v>
      </c>
      <c r="F339" t="s">
        <v>22</v>
      </c>
      <c r="G339">
        <v>90</v>
      </c>
      <c r="H339">
        <v>1</v>
      </c>
      <c r="I339">
        <v>15</v>
      </c>
      <c r="J339" s="1">
        <v>46159</v>
      </c>
      <c r="K339">
        <v>1.35</v>
      </c>
      <c r="L339">
        <v>29</v>
      </c>
      <c r="M339">
        <v>363</v>
      </c>
      <c r="N339">
        <v>15</v>
      </c>
      <c r="O339" t="str">
        <f t="shared" si="10"/>
        <v>0-100</v>
      </c>
      <c r="P339" t="str">
        <f>IF(airbnb_data3[[#This Row],[price]]&lt;=100,"Budget",
IF(airbnb_data3[[#This Row],[price]]&lt;=200,"Mid-range",
IF(airbnb_data3[[#This Row],[price]]&lt;=300,"Premium","Luxury")))</f>
        <v>Budget</v>
      </c>
      <c r="Q339" t="str">
        <f>IF(airbnb_data3[[#This Row],[availability_365]]&lt;=120,"Low Availability",IF(airbnb_data3[[#This Row],[availability_365]]&lt;=240,"Medium Availability","High Availability"))</f>
        <v>High Availability</v>
      </c>
      <c r="R339" s="6" t="str">
        <f t="shared" si="11"/>
        <v>Medium</v>
      </c>
      <c r="S339" s="6" t="str">
        <f>IF(airbnb_data3[[#This Row],[minimum_nights]]&lt;=3,"Short Stay",IF(airbnb_data3[[#This Row],[minimum_nights]]&lt;=7,"Medium Stay","Long Stay"))</f>
        <v>Short Stay</v>
      </c>
    </row>
    <row r="340" spans="1:19" x14ac:dyDescent="0.35">
      <c r="A340" t="s">
        <v>541</v>
      </c>
      <c r="B340" t="s">
        <v>504</v>
      </c>
      <c r="C340" t="s">
        <v>54</v>
      </c>
      <c r="D340">
        <v>42.676119999999997</v>
      </c>
      <c r="E340">
        <v>-73.780919999999995</v>
      </c>
      <c r="F340" t="s">
        <v>22</v>
      </c>
      <c r="G340">
        <v>104</v>
      </c>
      <c r="H340">
        <v>1</v>
      </c>
      <c r="I340">
        <v>21</v>
      </c>
      <c r="J340" s="1">
        <v>46099</v>
      </c>
      <c r="K340">
        <v>1.81</v>
      </c>
      <c r="L340">
        <v>29</v>
      </c>
      <c r="M340">
        <v>361</v>
      </c>
      <c r="N340">
        <v>21</v>
      </c>
      <c r="O340" t="str">
        <f t="shared" si="10"/>
        <v>101-200</v>
      </c>
      <c r="P340" t="str">
        <f>IF(airbnb_data3[[#This Row],[price]]&lt;=100,"Budget",
IF(airbnb_data3[[#This Row],[price]]&lt;=200,"Mid-range",
IF(airbnb_data3[[#This Row],[price]]&lt;=300,"Premium","Luxury")))</f>
        <v>Mid-range</v>
      </c>
      <c r="Q340" t="str">
        <f>IF(airbnb_data3[[#This Row],[availability_365]]&lt;=120,"Low Availability",IF(airbnb_data3[[#This Row],[availability_365]]&lt;=240,"Medium Availability","High Availability"))</f>
        <v>High Availability</v>
      </c>
      <c r="R340" s="6" t="str">
        <f t="shared" si="11"/>
        <v>Medium</v>
      </c>
      <c r="S340" s="6" t="str">
        <f>IF(airbnb_data3[[#This Row],[minimum_nights]]&lt;=3,"Short Stay",IF(airbnb_data3[[#This Row],[minimum_nights]]&lt;=7,"Medium Stay","Long Stay"))</f>
        <v>Short Stay</v>
      </c>
    </row>
    <row r="341" spans="1:19" x14ac:dyDescent="0.35">
      <c r="A341" t="s">
        <v>542</v>
      </c>
      <c r="B341" t="s">
        <v>182</v>
      </c>
      <c r="C341" t="s">
        <v>47</v>
      </c>
      <c r="D341">
        <v>42.6635558481141</v>
      </c>
      <c r="E341">
        <v>-73.793458886527702</v>
      </c>
      <c r="F341" t="s">
        <v>22</v>
      </c>
      <c r="G341">
        <v>160</v>
      </c>
      <c r="H341">
        <v>1</v>
      </c>
      <c r="I341">
        <v>7</v>
      </c>
      <c r="J341" s="1">
        <v>46144</v>
      </c>
      <c r="K341">
        <v>0.62</v>
      </c>
      <c r="L341">
        <v>16</v>
      </c>
      <c r="M341">
        <v>353</v>
      </c>
      <c r="N341">
        <v>7</v>
      </c>
      <c r="O341" t="str">
        <f t="shared" si="10"/>
        <v>101-200</v>
      </c>
      <c r="P341" t="str">
        <f>IF(airbnb_data3[[#This Row],[price]]&lt;=100,"Budget",
IF(airbnb_data3[[#This Row],[price]]&lt;=200,"Mid-range",
IF(airbnb_data3[[#This Row],[price]]&lt;=300,"Premium","Luxury")))</f>
        <v>Mid-range</v>
      </c>
      <c r="Q341" t="str">
        <f>IF(airbnb_data3[[#This Row],[availability_365]]&lt;=120,"Low Availability",IF(airbnb_data3[[#This Row],[availability_365]]&lt;=240,"Medium Availability","High Availability"))</f>
        <v>High Availability</v>
      </c>
      <c r="R341" s="6" t="str">
        <f t="shared" si="11"/>
        <v>Medium</v>
      </c>
      <c r="S341" s="6" t="str">
        <f>IF(airbnb_data3[[#This Row],[minimum_nights]]&lt;=3,"Short Stay",IF(airbnb_data3[[#This Row],[minimum_nights]]&lt;=7,"Medium Stay","Long Stay"))</f>
        <v>Short Stay</v>
      </c>
    </row>
    <row r="342" spans="1:19" x14ac:dyDescent="0.35">
      <c r="A342" t="s">
        <v>543</v>
      </c>
      <c r="B342" t="s">
        <v>544</v>
      </c>
      <c r="C342" t="s">
        <v>34</v>
      </c>
      <c r="D342">
        <v>42.667700000000004</v>
      </c>
      <c r="E342">
        <v>-73.800229999999999</v>
      </c>
      <c r="F342" t="s">
        <v>22</v>
      </c>
      <c r="G342">
        <v>81</v>
      </c>
      <c r="H342">
        <v>5</v>
      </c>
      <c r="I342">
        <v>24</v>
      </c>
      <c r="J342" s="1">
        <v>46168</v>
      </c>
      <c r="K342">
        <v>2.14</v>
      </c>
      <c r="L342">
        <v>5</v>
      </c>
      <c r="M342">
        <v>300</v>
      </c>
      <c r="N342">
        <v>24</v>
      </c>
      <c r="O342" t="str">
        <f t="shared" si="10"/>
        <v>0-100</v>
      </c>
      <c r="P342" t="str">
        <f>IF(airbnb_data3[[#This Row],[price]]&lt;=100,"Budget",
IF(airbnb_data3[[#This Row],[price]]&lt;=200,"Mid-range",
IF(airbnb_data3[[#This Row],[price]]&lt;=300,"Premium","Luxury")))</f>
        <v>Budget</v>
      </c>
      <c r="Q342" t="str">
        <f>IF(airbnb_data3[[#This Row],[availability_365]]&lt;=120,"Low Availability",IF(airbnb_data3[[#This Row],[availability_365]]&lt;=240,"Medium Availability","High Availability"))</f>
        <v>High Availability</v>
      </c>
      <c r="R342" s="6" t="str">
        <f t="shared" si="11"/>
        <v>Medium</v>
      </c>
      <c r="S342" s="6" t="str">
        <f>IF(airbnb_data3[[#This Row],[minimum_nights]]&lt;=3,"Short Stay",IF(airbnb_data3[[#This Row],[minimum_nights]]&lt;=7,"Medium Stay","Long Stay"))</f>
        <v>Medium Stay</v>
      </c>
    </row>
    <row r="343" spans="1:19" x14ac:dyDescent="0.35">
      <c r="A343" t="s">
        <v>545</v>
      </c>
      <c r="B343" t="s">
        <v>119</v>
      </c>
      <c r="C343" t="s">
        <v>28</v>
      </c>
      <c r="D343">
        <v>42.646039999999999</v>
      </c>
      <c r="E343">
        <v>-73.754189999999994</v>
      </c>
      <c r="F343" t="s">
        <v>22</v>
      </c>
      <c r="G343">
        <v>309</v>
      </c>
      <c r="H343">
        <v>1</v>
      </c>
      <c r="I343">
        <v>17</v>
      </c>
      <c r="J343" s="1">
        <v>46187</v>
      </c>
      <c r="K343">
        <v>1.54</v>
      </c>
      <c r="L343">
        <v>3</v>
      </c>
      <c r="M343">
        <v>83</v>
      </c>
      <c r="N343">
        <v>17</v>
      </c>
      <c r="O343" t="str">
        <f t="shared" si="10"/>
        <v>301-500</v>
      </c>
      <c r="P343" t="str">
        <f>IF(airbnb_data3[[#This Row],[price]]&lt;=100,"Budget",
IF(airbnb_data3[[#This Row],[price]]&lt;=200,"Mid-range",
IF(airbnb_data3[[#This Row],[price]]&lt;=300,"Premium","Luxury")))</f>
        <v>Luxury</v>
      </c>
      <c r="Q343" t="str">
        <f>IF(airbnb_data3[[#This Row],[availability_365]]&lt;=120,"Low Availability",IF(airbnb_data3[[#This Row],[availability_365]]&lt;=240,"Medium Availability","High Availability"))</f>
        <v>Low Availability</v>
      </c>
      <c r="R343" s="6" t="str">
        <f t="shared" si="11"/>
        <v>Medium</v>
      </c>
      <c r="S343" s="6" t="str">
        <f>IF(airbnb_data3[[#This Row],[minimum_nights]]&lt;=3,"Short Stay",IF(airbnb_data3[[#This Row],[minimum_nights]]&lt;=7,"Medium Stay","Long Stay"))</f>
        <v>Short Stay</v>
      </c>
    </row>
    <row r="344" spans="1:19" x14ac:dyDescent="0.35">
      <c r="A344" t="s">
        <v>546</v>
      </c>
      <c r="B344" t="s">
        <v>547</v>
      </c>
      <c r="C344" t="s">
        <v>28</v>
      </c>
      <c r="D344">
        <v>42.644030000000001</v>
      </c>
      <c r="E344">
        <v>-73.758529999999993</v>
      </c>
      <c r="F344" t="s">
        <v>22</v>
      </c>
      <c r="G344">
        <v>199</v>
      </c>
      <c r="H344">
        <v>1</v>
      </c>
      <c r="I344">
        <v>52</v>
      </c>
      <c r="J344" s="1">
        <v>46187</v>
      </c>
      <c r="K344">
        <v>4.8</v>
      </c>
      <c r="L344">
        <v>2</v>
      </c>
      <c r="M344">
        <v>322</v>
      </c>
      <c r="N344">
        <v>52</v>
      </c>
      <c r="O344" t="str">
        <f t="shared" si="10"/>
        <v>101-200</v>
      </c>
      <c r="P344" t="str">
        <f>IF(airbnb_data3[[#This Row],[price]]&lt;=100,"Budget",
IF(airbnb_data3[[#This Row],[price]]&lt;=200,"Mid-range",
IF(airbnb_data3[[#This Row],[price]]&lt;=300,"Premium","Luxury")))</f>
        <v>Mid-range</v>
      </c>
      <c r="Q344" t="str">
        <f>IF(airbnb_data3[[#This Row],[availability_365]]&lt;=120,"Low Availability",IF(airbnb_data3[[#This Row],[availability_365]]&lt;=240,"Medium Availability","High Availability"))</f>
        <v>High Availability</v>
      </c>
      <c r="R344" s="6" t="str">
        <f t="shared" si="11"/>
        <v>Medium</v>
      </c>
      <c r="S344" s="6" t="str">
        <f>IF(airbnb_data3[[#This Row],[minimum_nights]]&lt;=3,"Short Stay",IF(airbnb_data3[[#This Row],[minimum_nights]]&lt;=7,"Medium Stay","Long Stay"))</f>
        <v>Short Stay</v>
      </c>
    </row>
    <row r="345" spans="1:19" x14ac:dyDescent="0.35">
      <c r="A345" t="s">
        <v>548</v>
      </c>
      <c r="B345" t="s">
        <v>547</v>
      </c>
      <c r="C345" t="s">
        <v>28</v>
      </c>
      <c r="D345">
        <v>42.644910000000003</v>
      </c>
      <c r="E345">
        <v>-73.759399999999999</v>
      </c>
      <c r="F345" t="s">
        <v>22</v>
      </c>
      <c r="G345">
        <v>199</v>
      </c>
      <c r="H345">
        <v>1</v>
      </c>
      <c r="I345">
        <v>38</v>
      </c>
      <c r="J345" s="1">
        <v>46187</v>
      </c>
      <c r="K345">
        <v>3.54</v>
      </c>
      <c r="L345">
        <v>2</v>
      </c>
      <c r="M345">
        <v>343</v>
      </c>
      <c r="N345">
        <v>38</v>
      </c>
      <c r="O345" t="str">
        <f t="shared" si="10"/>
        <v>101-200</v>
      </c>
      <c r="P345" t="str">
        <f>IF(airbnb_data3[[#This Row],[price]]&lt;=100,"Budget",
IF(airbnb_data3[[#This Row],[price]]&lt;=200,"Mid-range",
IF(airbnb_data3[[#This Row],[price]]&lt;=300,"Premium","Luxury")))</f>
        <v>Mid-range</v>
      </c>
      <c r="Q345" t="str">
        <f>IF(airbnb_data3[[#This Row],[availability_365]]&lt;=120,"Low Availability",IF(airbnb_data3[[#This Row],[availability_365]]&lt;=240,"Medium Availability","High Availability"))</f>
        <v>High Availability</v>
      </c>
      <c r="R345" s="6" t="str">
        <f t="shared" si="11"/>
        <v>Medium</v>
      </c>
      <c r="S345" s="6" t="str">
        <f>IF(airbnb_data3[[#This Row],[minimum_nights]]&lt;=3,"Short Stay",IF(airbnb_data3[[#This Row],[minimum_nights]]&lt;=7,"Medium Stay","Long Stay"))</f>
        <v>Short Stay</v>
      </c>
    </row>
    <row r="346" spans="1:19" x14ac:dyDescent="0.35">
      <c r="A346" t="s">
        <v>549</v>
      </c>
      <c r="B346" t="s">
        <v>381</v>
      </c>
      <c r="C346" t="s">
        <v>21</v>
      </c>
      <c r="D346">
        <v>42.657040000000002</v>
      </c>
      <c r="E346">
        <v>-73.751670000000004</v>
      </c>
      <c r="F346" t="s">
        <v>22</v>
      </c>
      <c r="G346">
        <v>133</v>
      </c>
      <c r="H346">
        <v>14</v>
      </c>
      <c r="I346">
        <v>0</v>
      </c>
      <c r="K346">
        <v>0</v>
      </c>
      <c r="L346">
        <v>2</v>
      </c>
      <c r="M346">
        <v>350</v>
      </c>
      <c r="N346">
        <v>0</v>
      </c>
      <c r="O346" t="str">
        <f t="shared" si="10"/>
        <v>101-200</v>
      </c>
      <c r="P346" t="str">
        <f>IF(airbnb_data3[[#This Row],[price]]&lt;=100,"Budget",
IF(airbnb_data3[[#This Row],[price]]&lt;=200,"Mid-range",
IF(airbnb_data3[[#This Row],[price]]&lt;=300,"Premium","Luxury")))</f>
        <v>Mid-range</v>
      </c>
      <c r="Q346" t="str">
        <f>IF(airbnb_data3[[#This Row],[availability_365]]&lt;=120,"Low Availability",IF(airbnb_data3[[#This Row],[availability_365]]&lt;=240,"Medium Availability","High Availability"))</f>
        <v>High Availability</v>
      </c>
      <c r="R346" s="6" t="str">
        <f t="shared" si="11"/>
        <v>Medium</v>
      </c>
      <c r="S346" s="6" t="str">
        <f>IF(airbnb_data3[[#This Row],[minimum_nights]]&lt;=3,"Short Stay",IF(airbnb_data3[[#This Row],[minimum_nights]]&lt;=7,"Medium Stay","Long Stay"))</f>
        <v>Long Stay</v>
      </c>
    </row>
    <row r="347" spans="1:19" x14ac:dyDescent="0.35">
      <c r="A347" t="s">
        <v>550</v>
      </c>
      <c r="B347" t="s">
        <v>504</v>
      </c>
      <c r="C347" t="s">
        <v>54</v>
      </c>
      <c r="D347">
        <v>42.676270000000002</v>
      </c>
      <c r="E347">
        <v>-73.782259999999994</v>
      </c>
      <c r="F347" t="s">
        <v>22</v>
      </c>
      <c r="G347">
        <v>91</v>
      </c>
      <c r="H347">
        <v>1</v>
      </c>
      <c r="I347">
        <v>6</v>
      </c>
      <c r="J347" s="1">
        <v>46151</v>
      </c>
      <c r="K347">
        <v>0.63</v>
      </c>
      <c r="L347">
        <v>29</v>
      </c>
      <c r="M347">
        <v>360</v>
      </c>
      <c r="N347">
        <v>6</v>
      </c>
      <c r="O347" t="str">
        <f t="shared" si="10"/>
        <v>0-100</v>
      </c>
      <c r="P347" t="str">
        <f>IF(airbnb_data3[[#This Row],[price]]&lt;=100,"Budget",
IF(airbnb_data3[[#This Row],[price]]&lt;=200,"Mid-range",
IF(airbnb_data3[[#This Row],[price]]&lt;=300,"Premium","Luxury")))</f>
        <v>Budget</v>
      </c>
      <c r="Q347" t="str">
        <f>IF(airbnb_data3[[#This Row],[availability_365]]&lt;=120,"Low Availability",IF(airbnb_data3[[#This Row],[availability_365]]&lt;=240,"Medium Availability","High Availability"))</f>
        <v>High Availability</v>
      </c>
      <c r="R347" s="6" t="str">
        <f t="shared" si="11"/>
        <v>Medium</v>
      </c>
      <c r="S347" s="6" t="str">
        <f>IF(airbnb_data3[[#This Row],[minimum_nights]]&lt;=3,"Short Stay",IF(airbnb_data3[[#This Row],[minimum_nights]]&lt;=7,"Medium Stay","Long Stay"))</f>
        <v>Short Stay</v>
      </c>
    </row>
    <row r="348" spans="1:19" x14ac:dyDescent="0.35">
      <c r="A348" t="s">
        <v>551</v>
      </c>
      <c r="B348" t="s">
        <v>504</v>
      </c>
      <c r="C348" t="s">
        <v>40</v>
      </c>
      <c r="D348">
        <v>42.680226031526402</v>
      </c>
      <c r="E348">
        <v>-73.783368808408198</v>
      </c>
      <c r="F348" t="s">
        <v>22</v>
      </c>
      <c r="G348">
        <v>97</v>
      </c>
      <c r="H348">
        <v>1</v>
      </c>
      <c r="I348">
        <v>5</v>
      </c>
      <c r="J348" s="1">
        <v>46172</v>
      </c>
      <c r="K348">
        <v>0.56000000000000005</v>
      </c>
      <c r="L348">
        <v>29</v>
      </c>
      <c r="M348">
        <v>360</v>
      </c>
      <c r="N348">
        <v>5</v>
      </c>
      <c r="O348" t="str">
        <f t="shared" si="10"/>
        <v>0-100</v>
      </c>
      <c r="P348" t="str">
        <f>IF(airbnb_data3[[#This Row],[price]]&lt;=100,"Budget",
IF(airbnb_data3[[#This Row],[price]]&lt;=200,"Mid-range",
IF(airbnb_data3[[#This Row],[price]]&lt;=300,"Premium","Luxury")))</f>
        <v>Budget</v>
      </c>
      <c r="Q348" t="str">
        <f>IF(airbnb_data3[[#This Row],[availability_365]]&lt;=120,"Low Availability",IF(airbnb_data3[[#This Row],[availability_365]]&lt;=240,"Medium Availability","High Availability"))</f>
        <v>High Availability</v>
      </c>
      <c r="R348" s="6" t="str">
        <f t="shared" si="11"/>
        <v>Medium</v>
      </c>
      <c r="S348" s="6" t="str">
        <f>IF(airbnb_data3[[#This Row],[minimum_nights]]&lt;=3,"Short Stay",IF(airbnb_data3[[#This Row],[minimum_nights]]&lt;=7,"Medium Stay","Long Stay"))</f>
        <v>Short Stay</v>
      </c>
    </row>
    <row r="349" spans="1:19" x14ac:dyDescent="0.35">
      <c r="A349" t="s">
        <v>552</v>
      </c>
      <c r="B349" t="s">
        <v>381</v>
      </c>
      <c r="C349" t="s">
        <v>25</v>
      </c>
      <c r="D349">
        <v>42.651161201755698</v>
      </c>
      <c r="E349">
        <v>-73.764894939959007</v>
      </c>
      <c r="F349" t="s">
        <v>22</v>
      </c>
      <c r="G349">
        <v>139</v>
      </c>
      <c r="H349">
        <v>2</v>
      </c>
      <c r="I349">
        <v>2</v>
      </c>
      <c r="J349" s="1">
        <v>46079</v>
      </c>
      <c r="K349">
        <v>0.49</v>
      </c>
      <c r="L349">
        <v>3</v>
      </c>
      <c r="M349">
        <v>290</v>
      </c>
      <c r="N349">
        <v>2</v>
      </c>
      <c r="O349" t="str">
        <f t="shared" si="10"/>
        <v>101-200</v>
      </c>
      <c r="P349" t="str">
        <f>IF(airbnb_data3[[#This Row],[price]]&lt;=100,"Budget",
IF(airbnb_data3[[#This Row],[price]]&lt;=200,"Mid-range",
IF(airbnb_data3[[#This Row],[price]]&lt;=300,"Premium","Luxury")))</f>
        <v>Mid-range</v>
      </c>
      <c r="Q349" t="str">
        <f>IF(airbnb_data3[[#This Row],[availability_365]]&lt;=120,"Low Availability",IF(airbnb_data3[[#This Row],[availability_365]]&lt;=240,"Medium Availability","High Availability"))</f>
        <v>High Availability</v>
      </c>
      <c r="R349" s="6" t="str">
        <f t="shared" si="11"/>
        <v>Medium</v>
      </c>
      <c r="S349" s="6" t="str">
        <f>IF(airbnb_data3[[#This Row],[minimum_nights]]&lt;=3,"Short Stay",IF(airbnb_data3[[#This Row],[minimum_nights]]&lt;=7,"Medium Stay","Long Stay"))</f>
        <v>Short Stay</v>
      </c>
    </row>
    <row r="350" spans="1:19" x14ac:dyDescent="0.35">
      <c r="A350" t="s">
        <v>553</v>
      </c>
      <c r="B350" t="s">
        <v>132</v>
      </c>
      <c r="C350" t="s">
        <v>91</v>
      </c>
      <c r="D350">
        <v>42.657910000000001</v>
      </c>
      <c r="E350">
        <v>-73.746690000000001</v>
      </c>
      <c r="F350" t="s">
        <v>22</v>
      </c>
      <c r="G350">
        <v>172</v>
      </c>
      <c r="H350">
        <v>1</v>
      </c>
      <c r="I350">
        <v>13</v>
      </c>
      <c r="J350" s="1">
        <v>46151</v>
      </c>
      <c r="K350">
        <v>1.2</v>
      </c>
      <c r="L350">
        <v>16</v>
      </c>
      <c r="M350">
        <v>352</v>
      </c>
      <c r="N350">
        <v>13</v>
      </c>
      <c r="O350" t="str">
        <f t="shared" si="10"/>
        <v>101-200</v>
      </c>
      <c r="P350" t="str">
        <f>IF(airbnb_data3[[#This Row],[price]]&lt;=100,"Budget",
IF(airbnb_data3[[#This Row],[price]]&lt;=200,"Mid-range",
IF(airbnb_data3[[#This Row],[price]]&lt;=300,"Premium","Luxury")))</f>
        <v>Mid-range</v>
      </c>
      <c r="Q350" t="str">
        <f>IF(airbnb_data3[[#This Row],[availability_365]]&lt;=120,"Low Availability",IF(airbnb_data3[[#This Row],[availability_365]]&lt;=240,"Medium Availability","High Availability"))</f>
        <v>High Availability</v>
      </c>
      <c r="R350" s="6" t="str">
        <f t="shared" si="11"/>
        <v>Medium</v>
      </c>
      <c r="S350" s="6" t="str">
        <f>IF(airbnb_data3[[#This Row],[minimum_nights]]&lt;=3,"Short Stay",IF(airbnb_data3[[#This Row],[minimum_nights]]&lt;=7,"Medium Stay","Long Stay"))</f>
        <v>Short Stay</v>
      </c>
    </row>
    <row r="351" spans="1:19" x14ac:dyDescent="0.35">
      <c r="A351" t="s">
        <v>554</v>
      </c>
      <c r="B351" t="s">
        <v>276</v>
      </c>
      <c r="C351" t="s">
        <v>47</v>
      </c>
      <c r="D351">
        <v>42.662950000000002</v>
      </c>
      <c r="E351">
        <v>-73.78792</v>
      </c>
      <c r="F351" t="s">
        <v>31</v>
      </c>
      <c r="G351">
        <v>82</v>
      </c>
      <c r="H351">
        <v>4</v>
      </c>
      <c r="I351">
        <v>2</v>
      </c>
      <c r="J351" s="1">
        <v>45916</v>
      </c>
      <c r="K351">
        <v>0.19</v>
      </c>
      <c r="L351">
        <v>13</v>
      </c>
      <c r="M351">
        <v>50</v>
      </c>
      <c r="N351">
        <v>2</v>
      </c>
      <c r="O351" t="str">
        <f t="shared" si="10"/>
        <v>0-100</v>
      </c>
      <c r="P351" t="str">
        <f>IF(airbnb_data3[[#This Row],[price]]&lt;=100,"Budget",
IF(airbnb_data3[[#This Row],[price]]&lt;=200,"Mid-range",
IF(airbnb_data3[[#This Row],[price]]&lt;=300,"Premium","Luxury")))</f>
        <v>Budget</v>
      </c>
      <c r="Q351" t="str">
        <f>IF(airbnb_data3[[#This Row],[availability_365]]&lt;=120,"Low Availability",IF(airbnb_data3[[#This Row],[availability_365]]&lt;=240,"Medium Availability","High Availability"))</f>
        <v>Low Availability</v>
      </c>
      <c r="R351" s="6" t="str">
        <f t="shared" si="11"/>
        <v>Medium</v>
      </c>
      <c r="S351" s="6" t="str">
        <f>IF(airbnb_data3[[#This Row],[minimum_nights]]&lt;=3,"Short Stay",IF(airbnb_data3[[#This Row],[minimum_nights]]&lt;=7,"Medium Stay","Long Stay"))</f>
        <v>Medium Stay</v>
      </c>
    </row>
    <row r="352" spans="1:19" x14ac:dyDescent="0.35">
      <c r="A352" t="s">
        <v>555</v>
      </c>
      <c r="B352" t="s">
        <v>276</v>
      </c>
      <c r="C352" t="s">
        <v>47</v>
      </c>
      <c r="D352">
        <v>42.662416179675603</v>
      </c>
      <c r="E352">
        <v>-73.788379609279403</v>
      </c>
      <c r="F352" t="s">
        <v>31</v>
      </c>
      <c r="G352">
        <v>78</v>
      </c>
      <c r="H352">
        <v>5</v>
      </c>
      <c r="I352">
        <v>1</v>
      </c>
      <c r="J352" s="1">
        <v>45963</v>
      </c>
      <c r="K352">
        <v>0.13</v>
      </c>
      <c r="L352">
        <v>13</v>
      </c>
      <c r="M352">
        <v>114</v>
      </c>
      <c r="N352">
        <v>1</v>
      </c>
      <c r="O352" t="str">
        <f t="shared" si="10"/>
        <v>0-100</v>
      </c>
      <c r="P352" t="str">
        <f>IF(airbnb_data3[[#This Row],[price]]&lt;=100,"Budget",
IF(airbnb_data3[[#This Row],[price]]&lt;=200,"Mid-range",
IF(airbnb_data3[[#This Row],[price]]&lt;=300,"Premium","Luxury")))</f>
        <v>Budget</v>
      </c>
      <c r="Q352" t="str">
        <f>IF(airbnb_data3[[#This Row],[availability_365]]&lt;=120,"Low Availability",IF(airbnb_data3[[#This Row],[availability_365]]&lt;=240,"Medium Availability","High Availability"))</f>
        <v>Low Availability</v>
      </c>
      <c r="R352" s="6" t="str">
        <f t="shared" si="11"/>
        <v>Medium</v>
      </c>
      <c r="S352" s="6" t="str">
        <f>IF(airbnb_data3[[#This Row],[minimum_nights]]&lt;=3,"Short Stay",IF(airbnb_data3[[#This Row],[minimum_nights]]&lt;=7,"Medium Stay","Long Stay"))</f>
        <v>Medium Stay</v>
      </c>
    </row>
    <row r="353" spans="1:19" x14ac:dyDescent="0.35">
      <c r="A353" t="s">
        <v>556</v>
      </c>
      <c r="B353" t="s">
        <v>276</v>
      </c>
      <c r="C353" t="s">
        <v>47</v>
      </c>
      <c r="D353">
        <v>42.663258144541601</v>
      </c>
      <c r="E353">
        <v>-73.789826695591401</v>
      </c>
      <c r="F353" t="s">
        <v>31</v>
      </c>
      <c r="G353">
        <v>83</v>
      </c>
      <c r="H353">
        <v>21</v>
      </c>
      <c r="I353">
        <v>2</v>
      </c>
      <c r="J353" s="1">
        <v>46069</v>
      </c>
      <c r="K353">
        <v>0.36</v>
      </c>
      <c r="L353">
        <v>13</v>
      </c>
      <c r="M353">
        <v>36</v>
      </c>
      <c r="N353">
        <v>2</v>
      </c>
      <c r="O353" t="str">
        <f t="shared" si="10"/>
        <v>0-100</v>
      </c>
      <c r="P353" t="str">
        <f>IF(airbnb_data3[[#This Row],[price]]&lt;=100,"Budget",
IF(airbnb_data3[[#This Row],[price]]&lt;=200,"Mid-range",
IF(airbnb_data3[[#This Row],[price]]&lt;=300,"Premium","Luxury")))</f>
        <v>Budget</v>
      </c>
      <c r="Q353" t="str">
        <f>IF(airbnb_data3[[#This Row],[availability_365]]&lt;=120,"Low Availability",IF(airbnb_data3[[#This Row],[availability_365]]&lt;=240,"Medium Availability","High Availability"))</f>
        <v>Low Availability</v>
      </c>
      <c r="R353" s="6" t="str">
        <f t="shared" si="11"/>
        <v>Medium</v>
      </c>
      <c r="S353" s="6" t="str">
        <f>IF(airbnb_data3[[#This Row],[minimum_nights]]&lt;=3,"Short Stay",IF(airbnb_data3[[#This Row],[minimum_nights]]&lt;=7,"Medium Stay","Long Stay"))</f>
        <v>Long Stay</v>
      </c>
    </row>
    <row r="354" spans="1:19" x14ac:dyDescent="0.35">
      <c r="A354" t="s">
        <v>557</v>
      </c>
      <c r="B354" t="s">
        <v>276</v>
      </c>
      <c r="C354" t="s">
        <v>47</v>
      </c>
      <c r="D354">
        <v>42.662322934801701</v>
      </c>
      <c r="E354">
        <v>-73.787713910873705</v>
      </c>
      <c r="F354" t="s">
        <v>31</v>
      </c>
      <c r="G354">
        <v>43</v>
      </c>
      <c r="H354">
        <v>28</v>
      </c>
      <c r="I354">
        <v>2</v>
      </c>
      <c r="J354" s="1">
        <v>46065</v>
      </c>
      <c r="K354">
        <v>0.19</v>
      </c>
      <c r="L354">
        <v>13</v>
      </c>
      <c r="M354">
        <v>102</v>
      </c>
      <c r="N354">
        <v>2</v>
      </c>
      <c r="O354" t="str">
        <f t="shared" si="10"/>
        <v>0-100</v>
      </c>
      <c r="P354" t="str">
        <f>IF(airbnb_data3[[#This Row],[price]]&lt;=100,"Budget",
IF(airbnb_data3[[#This Row],[price]]&lt;=200,"Mid-range",
IF(airbnb_data3[[#This Row],[price]]&lt;=300,"Premium","Luxury")))</f>
        <v>Budget</v>
      </c>
      <c r="Q354" t="str">
        <f>IF(airbnb_data3[[#This Row],[availability_365]]&lt;=120,"Low Availability",IF(airbnb_data3[[#This Row],[availability_365]]&lt;=240,"Medium Availability","High Availability"))</f>
        <v>Low Availability</v>
      </c>
      <c r="R354" s="6" t="str">
        <f t="shared" si="11"/>
        <v>Medium</v>
      </c>
      <c r="S354" s="6" t="str">
        <f>IF(airbnb_data3[[#This Row],[minimum_nights]]&lt;=3,"Short Stay",IF(airbnb_data3[[#This Row],[minimum_nights]]&lt;=7,"Medium Stay","Long Stay"))</f>
        <v>Long Stay</v>
      </c>
    </row>
    <row r="355" spans="1:19" x14ac:dyDescent="0.35">
      <c r="A355" t="s">
        <v>558</v>
      </c>
      <c r="B355" t="s">
        <v>559</v>
      </c>
      <c r="C355" t="s">
        <v>21</v>
      </c>
      <c r="D355">
        <v>42.6498098</v>
      </c>
      <c r="E355">
        <v>-73.753256499999907</v>
      </c>
      <c r="F355" t="s">
        <v>22</v>
      </c>
      <c r="G355">
        <v>120</v>
      </c>
      <c r="H355">
        <v>2</v>
      </c>
      <c r="I355">
        <v>11</v>
      </c>
      <c r="J355" s="1">
        <v>46082</v>
      </c>
      <c r="K355">
        <v>1.0900000000000001</v>
      </c>
      <c r="L355">
        <v>1</v>
      </c>
      <c r="M355">
        <v>164</v>
      </c>
      <c r="N355">
        <v>11</v>
      </c>
      <c r="O355" t="str">
        <f t="shared" si="10"/>
        <v>101-200</v>
      </c>
      <c r="P355" t="str">
        <f>IF(airbnb_data3[[#This Row],[price]]&lt;=100,"Budget",
IF(airbnb_data3[[#This Row],[price]]&lt;=200,"Mid-range",
IF(airbnb_data3[[#This Row],[price]]&lt;=300,"Premium","Luxury")))</f>
        <v>Mid-range</v>
      </c>
      <c r="Q355" t="str">
        <f>IF(airbnb_data3[[#This Row],[availability_365]]&lt;=120,"Low Availability",IF(airbnb_data3[[#This Row],[availability_365]]&lt;=240,"Medium Availability","High Availability"))</f>
        <v>Medium Availability</v>
      </c>
      <c r="R355" s="6" t="str">
        <f t="shared" si="11"/>
        <v>Medium</v>
      </c>
      <c r="S355" s="6" t="str">
        <f>IF(airbnb_data3[[#This Row],[minimum_nights]]&lt;=3,"Short Stay",IF(airbnb_data3[[#This Row],[minimum_nights]]&lt;=7,"Medium Stay","Long Stay"))</f>
        <v>Short Stay</v>
      </c>
    </row>
    <row r="356" spans="1:19" x14ac:dyDescent="0.35">
      <c r="A356" t="s">
        <v>560</v>
      </c>
      <c r="B356" t="s">
        <v>389</v>
      </c>
      <c r="C356" t="s">
        <v>51</v>
      </c>
      <c r="D356">
        <v>42.655470000000001</v>
      </c>
      <c r="E356">
        <v>-73.789490000000001</v>
      </c>
      <c r="F356" t="s">
        <v>22</v>
      </c>
      <c r="G356">
        <v>485</v>
      </c>
      <c r="H356">
        <v>1</v>
      </c>
      <c r="I356">
        <v>58</v>
      </c>
      <c r="J356" s="1">
        <v>46180</v>
      </c>
      <c r="K356">
        <v>5.94</v>
      </c>
      <c r="L356">
        <v>3</v>
      </c>
      <c r="M356">
        <v>315</v>
      </c>
      <c r="N356">
        <v>58</v>
      </c>
      <c r="O356" t="str">
        <f t="shared" si="10"/>
        <v>301-500</v>
      </c>
      <c r="P356" t="str">
        <f>IF(airbnb_data3[[#This Row],[price]]&lt;=100,"Budget",
IF(airbnb_data3[[#This Row],[price]]&lt;=200,"Mid-range",
IF(airbnb_data3[[#This Row],[price]]&lt;=300,"Premium","Luxury")))</f>
        <v>Luxury</v>
      </c>
      <c r="Q356" t="str">
        <f>IF(airbnb_data3[[#This Row],[availability_365]]&lt;=120,"Low Availability",IF(airbnb_data3[[#This Row],[availability_365]]&lt;=240,"Medium Availability","High Availability"))</f>
        <v>High Availability</v>
      </c>
      <c r="R356" s="6" t="str">
        <f t="shared" si="11"/>
        <v>Medium</v>
      </c>
      <c r="S356" s="6" t="str">
        <f>IF(airbnb_data3[[#This Row],[minimum_nights]]&lt;=3,"Short Stay",IF(airbnb_data3[[#This Row],[minimum_nights]]&lt;=7,"Medium Stay","Long Stay"))</f>
        <v>Short Stay</v>
      </c>
    </row>
    <row r="357" spans="1:19" x14ac:dyDescent="0.35">
      <c r="A357" t="s">
        <v>562</v>
      </c>
      <c r="B357" t="s">
        <v>276</v>
      </c>
      <c r="C357" t="s">
        <v>47</v>
      </c>
      <c r="D357">
        <v>42.663440000000001</v>
      </c>
      <c r="E357">
        <v>-73.787520000000001</v>
      </c>
      <c r="F357" t="s">
        <v>22</v>
      </c>
      <c r="G357">
        <v>160</v>
      </c>
      <c r="H357">
        <v>28</v>
      </c>
      <c r="I357">
        <v>0</v>
      </c>
      <c r="K357">
        <v>0</v>
      </c>
      <c r="L357">
        <v>13</v>
      </c>
      <c r="M357">
        <v>102</v>
      </c>
      <c r="N357">
        <v>0</v>
      </c>
      <c r="O357" t="str">
        <f t="shared" si="10"/>
        <v>101-200</v>
      </c>
      <c r="P357" t="str">
        <f>IF(airbnb_data3[[#This Row],[price]]&lt;=100,"Budget",
IF(airbnb_data3[[#This Row],[price]]&lt;=200,"Mid-range",
IF(airbnb_data3[[#This Row],[price]]&lt;=300,"Premium","Luxury")))</f>
        <v>Mid-range</v>
      </c>
      <c r="Q357" t="str">
        <f>IF(airbnb_data3[[#This Row],[availability_365]]&lt;=120,"Low Availability",IF(airbnb_data3[[#This Row],[availability_365]]&lt;=240,"Medium Availability","High Availability"))</f>
        <v>Low Availability</v>
      </c>
      <c r="R357" s="6" t="str">
        <f t="shared" si="11"/>
        <v>Medium</v>
      </c>
      <c r="S357" s="6" t="str">
        <f>IF(airbnb_data3[[#This Row],[minimum_nights]]&lt;=3,"Short Stay",IF(airbnb_data3[[#This Row],[minimum_nights]]&lt;=7,"Medium Stay","Long Stay"))</f>
        <v>Long Stay</v>
      </c>
    </row>
    <row r="358" spans="1:19" x14ac:dyDescent="0.35">
      <c r="A358" t="s">
        <v>563</v>
      </c>
      <c r="B358" t="s">
        <v>24</v>
      </c>
      <c r="C358" t="s">
        <v>25</v>
      </c>
      <c r="D358">
        <v>42.652377899999998</v>
      </c>
      <c r="E358">
        <v>-73.7671603</v>
      </c>
      <c r="F358" t="s">
        <v>22</v>
      </c>
      <c r="G358">
        <v>160</v>
      </c>
      <c r="H358">
        <v>1</v>
      </c>
      <c r="I358">
        <v>36</v>
      </c>
      <c r="J358" s="1">
        <v>46180</v>
      </c>
      <c r="K358">
        <v>3.75</v>
      </c>
      <c r="L358">
        <v>7</v>
      </c>
      <c r="M358">
        <v>345</v>
      </c>
      <c r="N358">
        <v>36</v>
      </c>
      <c r="O358" t="str">
        <f t="shared" si="10"/>
        <v>101-200</v>
      </c>
      <c r="P358" t="str">
        <f>IF(airbnb_data3[[#This Row],[price]]&lt;=100,"Budget",
IF(airbnb_data3[[#This Row],[price]]&lt;=200,"Mid-range",
IF(airbnb_data3[[#This Row],[price]]&lt;=300,"Premium","Luxury")))</f>
        <v>Mid-range</v>
      </c>
      <c r="Q358" t="str">
        <f>IF(airbnb_data3[[#This Row],[availability_365]]&lt;=120,"Low Availability",IF(airbnb_data3[[#This Row],[availability_365]]&lt;=240,"Medium Availability","High Availability"))</f>
        <v>High Availability</v>
      </c>
      <c r="R358" s="6" t="str">
        <f t="shared" si="11"/>
        <v>Medium</v>
      </c>
      <c r="S358" s="6" t="str">
        <f>IF(airbnb_data3[[#This Row],[minimum_nights]]&lt;=3,"Short Stay",IF(airbnb_data3[[#This Row],[minimum_nights]]&lt;=7,"Medium Stay","Long Stay"))</f>
        <v>Short Stay</v>
      </c>
    </row>
    <row r="359" spans="1:19" x14ac:dyDescent="0.35">
      <c r="A359" t="s">
        <v>564</v>
      </c>
      <c r="B359" t="s">
        <v>504</v>
      </c>
      <c r="C359" t="s">
        <v>40</v>
      </c>
      <c r="D359">
        <v>42.678080000000001</v>
      </c>
      <c r="E359">
        <v>-73.782079999999993</v>
      </c>
      <c r="F359" t="s">
        <v>22</v>
      </c>
      <c r="G359">
        <v>88</v>
      </c>
      <c r="H359">
        <v>1</v>
      </c>
      <c r="I359">
        <v>5</v>
      </c>
      <c r="J359" s="1">
        <v>46143</v>
      </c>
      <c r="K359">
        <v>0.59</v>
      </c>
      <c r="L359">
        <v>29</v>
      </c>
      <c r="M359">
        <v>363</v>
      </c>
      <c r="N359">
        <v>5</v>
      </c>
      <c r="O359" t="str">
        <f t="shared" si="10"/>
        <v>0-100</v>
      </c>
      <c r="P359" t="str">
        <f>IF(airbnb_data3[[#This Row],[price]]&lt;=100,"Budget",
IF(airbnb_data3[[#This Row],[price]]&lt;=200,"Mid-range",
IF(airbnb_data3[[#This Row],[price]]&lt;=300,"Premium","Luxury")))</f>
        <v>Budget</v>
      </c>
      <c r="Q359" t="str">
        <f>IF(airbnb_data3[[#This Row],[availability_365]]&lt;=120,"Low Availability",IF(airbnb_data3[[#This Row],[availability_365]]&lt;=240,"Medium Availability","High Availability"))</f>
        <v>High Availability</v>
      </c>
      <c r="R359" s="6" t="str">
        <f t="shared" si="11"/>
        <v>Medium</v>
      </c>
      <c r="S359" s="6" t="str">
        <f>IF(airbnb_data3[[#This Row],[minimum_nights]]&lt;=3,"Short Stay",IF(airbnb_data3[[#This Row],[minimum_nights]]&lt;=7,"Medium Stay","Long Stay"))</f>
        <v>Short Stay</v>
      </c>
    </row>
    <row r="360" spans="1:19" x14ac:dyDescent="0.35">
      <c r="A360" t="s">
        <v>565</v>
      </c>
      <c r="B360" t="s">
        <v>504</v>
      </c>
      <c r="C360" t="s">
        <v>54</v>
      </c>
      <c r="D360">
        <v>42.675801777825001</v>
      </c>
      <c r="E360">
        <v>-73.7803687491121</v>
      </c>
      <c r="F360" t="s">
        <v>22</v>
      </c>
      <c r="G360">
        <v>83</v>
      </c>
      <c r="H360">
        <v>1</v>
      </c>
      <c r="I360">
        <v>2</v>
      </c>
      <c r="J360" s="1">
        <v>45949</v>
      </c>
      <c r="K360">
        <v>0.23</v>
      </c>
      <c r="L360">
        <v>29</v>
      </c>
      <c r="M360">
        <v>359</v>
      </c>
      <c r="N360">
        <v>2</v>
      </c>
      <c r="O360" t="str">
        <f t="shared" si="10"/>
        <v>0-100</v>
      </c>
      <c r="P360" t="str">
        <f>IF(airbnb_data3[[#This Row],[price]]&lt;=100,"Budget",
IF(airbnb_data3[[#This Row],[price]]&lt;=200,"Mid-range",
IF(airbnb_data3[[#This Row],[price]]&lt;=300,"Premium","Luxury")))</f>
        <v>Budget</v>
      </c>
      <c r="Q360" t="str">
        <f>IF(airbnb_data3[[#This Row],[availability_365]]&lt;=120,"Low Availability",IF(airbnb_data3[[#This Row],[availability_365]]&lt;=240,"Medium Availability","High Availability"))</f>
        <v>High Availability</v>
      </c>
      <c r="R360" s="6" t="str">
        <f t="shared" si="11"/>
        <v>Medium</v>
      </c>
      <c r="S360" s="6" t="str">
        <f>IF(airbnb_data3[[#This Row],[minimum_nights]]&lt;=3,"Short Stay",IF(airbnb_data3[[#This Row],[minimum_nights]]&lt;=7,"Medium Stay","Long Stay"))</f>
        <v>Short Stay</v>
      </c>
    </row>
    <row r="361" spans="1:19" x14ac:dyDescent="0.35">
      <c r="A361" t="s">
        <v>566</v>
      </c>
      <c r="B361" t="s">
        <v>504</v>
      </c>
      <c r="C361" t="s">
        <v>54</v>
      </c>
      <c r="D361">
        <v>42.67736</v>
      </c>
      <c r="E361">
        <v>-73.781080000000003</v>
      </c>
      <c r="F361" t="s">
        <v>22</v>
      </c>
      <c r="G361">
        <v>87</v>
      </c>
      <c r="H361">
        <v>1</v>
      </c>
      <c r="I361">
        <v>10</v>
      </c>
      <c r="J361" s="1">
        <v>46131</v>
      </c>
      <c r="K361">
        <v>0.99</v>
      </c>
      <c r="L361">
        <v>29</v>
      </c>
      <c r="M361">
        <v>356</v>
      </c>
      <c r="N361">
        <v>10</v>
      </c>
      <c r="O361" t="str">
        <f t="shared" si="10"/>
        <v>0-100</v>
      </c>
      <c r="P361" t="str">
        <f>IF(airbnb_data3[[#This Row],[price]]&lt;=100,"Budget",
IF(airbnb_data3[[#This Row],[price]]&lt;=200,"Mid-range",
IF(airbnb_data3[[#This Row],[price]]&lt;=300,"Premium","Luxury")))</f>
        <v>Budget</v>
      </c>
      <c r="Q361" t="str">
        <f>IF(airbnb_data3[[#This Row],[availability_365]]&lt;=120,"Low Availability",IF(airbnb_data3[[#This Row],[availability_365]]&lt;=240,"Medium Availability","High Availability"))</f>
        <v>High Availability</v>
      </c>
      <c r="R361" s="6" t="str">
        <f t="shared" si="11"/>
        <v>Medium</v>
      </c>
      <c r="S361" s="6" t="str">
        <f>IF(airbnb_data3[[#This Row],[minimum_nights]]&lt;=3,"Short Stay",IF(airbnb_data3[[#This Row],[minimum_nights]]&lt;=7,"Medium Stay","Long Stay"))</f>
        <v>Short Stay</v>
      </c>
    </row>
    <row r="362" spans="1:19" x14ac:dyDescent="0.35">
      <c r="A362" t="s">
        <v>567</v>
      </c>
      <c r="B362" t="s">
        <v>504</v>
      </c>
      <c r="C362" t="s">
        <v>40</v>
      </c>
      <c r="D362">
        <v>42.6809405014315</v>
      </c>
      <c r="E362">
        <v>-73.784610600044104</v>
      </c>
      <c r="F362" t="s">
        <v>22</v>
      </c>
      <c r="G362">
        <v>90</v>
      </c>
      <c r="H362">
        <v>1</v>
      </c>
      <c r="I362">
        <v>11</v>
      </c>
      <c r="J362" s="1">
        <v>46139</v>
      </c>
      <c r="K362">
        <v>1.0900000000000001</v>
      </c>
      <c r="L362">
        <v>29</v>
      </c>
      <c r="M362">
        <v>357</v>
      </c>
      <c r="N362">
        <v>11</v>
      </c>
      <c r="O362" t="str">
        <f t="shared" si="10"/>
        <v>0-100</v>
      </c>
      <c r="P362" t="str">
        <f>IF(airbnb_data3[[#This Row],[price]]&lt;=100,"Budget",
IF(airbnb_data3[[#This Row],[price]]&lt;=200,"Mid-range",
IF(airbnb_data3[[#This Row],[price]]&lt;=300,"Premium","Luxury")))</f>
        <v>Budget</v>
      </c>
      <c r="Q362" t="str">
        <f>IF(airbnb_data3[[#This Row],[availability_365]]&lt;=120,"Low Availability",IF(airbnb_data3[[#This Row],[availability_365]]&lt;=240,"Medium Availability","High Availability"))</f>
        <v>High Availability</v>
      </c>
      <c r="R362" s="6" t="str">
        <f t="shared" si="11"/>
        <v>Medium</v>
      </c>
      <c r="S362" s="6" t="str">
        <f>IF(airbnb_data3[[#This Row],[minimum_nights]]&lt;=3,"Short Stay",IF(airbnb_data3[[#This Row],[minimum_nights]]&lt;=7,"Medium Stay","Long Stay"))</f>
        <v>Short Stay</v>
      </c>
    </row>
    <row r="363" spans="1:19" x14ac:dyDescent="0.35">
      <c r="A363" t="s">
        <v>568</v>
      </c>
      <c r="B363" t="s">
        <v>504</v>
      </c>
      <c r="C363" t="s">
        <v>40</v>
      </c>
      <c r="D363">
        <v>42.682049999999997</v>
      </c>
      <c r="E363">
        <v>-73.784599999999998</v>
      </c>
      <c r="F363" t="s">
        <v>22</v>
      </c>
      <c r="G363">
        <v>92</v>
      </c>
      <c r="H363">
        <v>1</v>
      </c>
      <c r="I363">
        <v>1</v>
      </c>
      <c r="J363" s="1">
        <v>46101</v>
      </c>
      <c r="K363">
        <v>0.34</v>
      </c>
      <c r="L363">
        <v>29</v>
      </c>
      <c r="M363">
        <v>365</v>
      </c>
      <c r="N363">
        <v>1</v>
      </c>
      <c r="O363" t="str">
        <f t="shared" si="10"/>
        <v>0-100</v>
      </c>
      <c r="P363" t="str">
        <f>IF(airbnb_data3[[#This Row],[price]]&lt;=100,"Budget",
IF(airbnb_data3[[#This Row],[price]]&lt;=200,"Mid-range",
IF(airbnb_data3[[#This Row],[price]]&lt;=300,"Premium","Luxury")))</f>
        <v>Budget</v>
      </c>
      <c r="Q363" t="str">
        <f>IF(airbnb_data3[[#This Row],[availability_365]]&lt;=120,"Low Availability",IF(airbnb_data3[[#This Row],[availability_365]]&lt;=240,"Medium Availability","High Availability"))</f>
        <v>High Availability</v>
      </c>
      <c r="R363" s="6" t="str">
        <f t="shared" si="11"/>
        <v>Medium</v>
      </c>
      <c r="S363" s="6" t="str">
        <f>IF(airbnb_data3[[#This Row],[minimum_nights]]&lt;=3,"Short Stay",IF(airbnb_data3[[#This Row],[minimum_nights]]&lt;=7,"Medium Stay","Long Stay"))</f>
        <v>Short Stay</v>
      </c>
    </row>
    <row r="364" spans="1:19" x14ac:dyDescent="0.35">
      <c r="A364" t="s">
        <v>569</v>
      </c>
      <c r="B364" t="s">
        <v>504</v>
      </c>
      <c r="C364" t="s">
        <v>40</v>
      </c>
      <c r="D364">
        <v>42.682110000000002</v>
      </c>
      <c r="E364">
        <v>-73.783060000000006</v>
      </c>
      <c r="F364" t="s">
        <v>22</v>
      </c>
      <c r="G364">
        <v>87</v>
      </c>
      <c r="H364">
        <v>1</v>
      </c>
      <c r="I364">
        <v>4</v>
      </c>
      <c r="J364" s="1">
        <v>46165</v>
      </c>
      <c r="K364">
        <v>0.41</v>
      </c>
      <c r="L364">
        <v>29</v>
      </c>
      <c r="M364">
        <v>362</v>
      </c>
      <c r="N364">
        <v>4</v>
      </c>
      <c r="O364" t="str">
        <f t="shared" si="10"/>
        <v>0-100</v>
      </c>
      <c r="P364" t="str">
        <f>IF(airbnb_data3[[#This Row],[price]]&lt;=100,"Budget",
IF(airbnb_data3[[#This Row],[price]]&lt;=200,"Mid-range",
IF(airbnb_data3[[#This Row],[price]]&lt;=300,"Premium","Luxury")))</f>
        <v>Budget</v>
      </c>
      <c r="Q364" t="str">
        <f>IF(airbnb_data3[[#This Row],[availability_365]]&lt;=120,"Low Availability",IF(airbnb_data3[[#This Row],[availability_365]]&lt;=240,"Medium Availability","High Availability"))</f>
        <v>High Availability</v>
      </c>
      <c r="R364" s="6" t="str">
        <f t="shared" si="11"/>
        <v>Medium</v>
      </c>
      <c r="S364" s="6" t="str">
        <f>IF(airbnb_data3[[#This Row],[minimum_nights]]&lt;=3,"Short Stay",IF(airbnb_data3[[#This Row],[minimum_nights]]&lt;=7,"Medium Stay","Long Stay"))</f>
        <v>Short Stay</v>
      </c>
    </row>
    <row r="365" spans="1:19" x14ac:dyDescent="0.35">
      <c r="A365" t="s">
        <v>570</v>
      </c>
      <c r="B365" t="s">
        <v>90</v>
      </c>
      <c r="C365" t="s">
        <v>25</v>
      </c>
      <c r="D365">
        <v>42.65334</v>
      </c>
      <c r="E365">
        <v>-73.766050000000007</v>
      </c>
      <c r="F365" t="s">
        <v>22</v>
      </c>
      <c r="G365">
        <v>115</v>
      </c>
      <c r="H365">
        <v>1</v>
      </c>
      <c r="I365">
        <v>47</v>
      </c>
      <c r="J365" s="1">
        <v>46145</v>
      </c>
      <c r="K365">
        <v>5.2</v>
      </c>
      <c r="L365">
        <v>1</v>
      </c>
      <c r="M365">
        <v>166</v>
      </c>
      <c r="N365">
        <v>47</v>
      </c>
      <c r="O365" t="str">
        <f t="shared" si="10"/>
        <v>101-200</v>
      </c>
      <c r="P365" t="str">
        <f>IF(airbnb_data3[[#This Row],[price]]&lt;=100,"Budget",
IF(airbnb_data3[[#This Row],[price]]&lt;=200,"Mid-range",
IF(airbnb_data3[[#This Row],[price]]&lt;=300,"Premium","Luxury")))</f>
        <v>Mid-range</v>
      </c>
      <c r="Q365" t="str">
        <f>IF(airbnb_data3[[#This Row],[availability_365]]&lt;=120,"Low Availability",IF(airbnb_data3[[#This Row],[availability_365]]&lt;=240,"Medium Availability","High Availability"))</f>
        <v>Medium Availability</v>
      </c>
      <c r="R365" s="6" t="str">
        <f t="shared" si="11"/>
        <v>Medium</v>
      </c>
      <c r="S365" s="6" t="str">
        <f>IF(airbnb_data3[[#This Row],[minimum_nights]]&lt;=3,"Short Stay",IF(airbnb_data3[[#This Row],[minimum_nights]]&lt;=7,"Medium Stay","Long Stay"))</f>
        <v>Short Stay</v>
      </c>
    </row>
    <row r="366" spans="1:19" x14ac:dyDescent="0.35">
      <c r="A366" t="s">
        <v>571</v>
      </c>
      <c r="B366" t="s">
        <v>572</v>
      </c>
      <c r="C366" t="s">
        <v>21</v>
      </c>
      <c r="D366">
        <v>42.656700000000001</v>
      </c>
      <c r="E366">
        <v>-73.75412</v>
      </c>
      <c r="F366" t="s">
        <v>22</v>
      </c>
      <c r="G366">
        <v>295</v>
      </c>
      <c r="H366">
        <v>1</v>
      </c>
      <c r="I366">
        <v>38</v>
      </c>
      <c r="J366" s="1">
        <v>46168</v>
      </c>
      <c r="K366">
        <v>6.26</v>
      </c>
      <c r="L366">
        <v>1</v>
      </c>
      <c r="M366">
        <v>203</v>
      </c>
      <c r="N366">
        <v>38</v>
      </c>
      <c r="O366" t="str">
        <f t="shared" si="10"/>
        <v>201-300</v>
      </c>
      <c r="P366" t="str">
        <f>IF(airbnb_data3[[#This Row],[price]]&lt;=100,"Budget",
IF(airbnb_data3[[#This Row],[price]]&lt;=200,"Mid-range",
IF(airbnb_data3[[#This Row],[price]]&lt;=300,"Premium","Luxury")))</f>
        <v>Premium</v>
      </c>
      <c r="Q366" t="str">
        <f>IF(airbnb_data3[[#This Row],[availability_365]]&lt;=120,"Low Availability",IF(airbnb_data3[[#This Row],[availability_365]]&lt;=240,"Medium Availability","High Availability"))</f>
        <v>Medium Availability</v>
      </c>
      <c r="R366" s="6" t="str">
        <f t="shared" si="11"/>
        <v>Medium</v>
      </c>
      <c r="S366" s="6" t="str">
        <f>IF(airbnb_data3[[#This Row],[minimum_nights]]&lt;=3,"Short Stay",IF(airbnb_data3[[#This Row],[minimum_nights]]&lt;=7,"Medium Stay","Long Stay"))</f>
        <v>Short Stay</v>
      </c>
    </row>
    <row r="367" spans="1:19" x14ac:dyDescent="0.35">
      <c r="A367" t="s">
        <v>573</v>
      </c>
      <c r="B367" t="s">
        <v>574</v>
      </c>
      <c r="C367" t="s">
        <v>25</v>
      </c>
      <c r="D367">
        <v>42.6532615125383</v>
      </c>
      <c r="E367">
        <v>-73.769809028404495</v>
      </c>
      <c r="F367" t="s">
        <v>31</v>
      </c>
      <c r="G367">
        <v>67</v>
      </c>
      <c r="H367">
        <v>2</v>
      </c>
      <c r="I367">
        <v>22</v>
      </c>
      <c r="J367" s="1">
        <v>46158</v>
      </c>
      <c r="K367">
        <v>2.29</v>
      </c>
      <c r="L367">
        <v>1</v>
      </c>
      <c r="M367">
        <v>71</v>
      </c>
      <c r="N367">
        <v>22</v>
      </c>
      <c r="O367" t="str">
        <f t="shared" si="10"/>
        <v>0-100</v>
      </c>
      <c r="P367" t="str">
        <f>IF(airbnb_data3[[#This Row],[price]]&lt;=100,"Budget",
IF(airbnb_data3[[#This Row],[price]]&lt;=200,"Mid-range",
IF(airbnb_data3[[#This Row],[price]]&lt;=300,"Premium","Luxury")))</f>
        <v>Budget</v>
      </c>
      <c r="Q367" t="str">
        <f>IF(airbnb_data3[[#This Row],[availability_365]]&lt;=120,"Low Availability",IF(airbnb_data3[[#This Row],[availability_365]]&lt;=240,"Medium Availability","High Availability"))</f>
        <v>Low Availability</v>
      </c>
      <c r="R367" s="6" t="str">
        <f t="shared" si="11"/>
        <v>Medium</v>
      </c>
      <c r="S367" s="6" t="str">
        <f>IF(airbnb_data3[[#This Row],[minimum_nights]]&lt;=3,"Short Stay",IF(airbnb_data3[[#This Row],[minimum_nights]]&lt;=7,"Medium Stay","Long Stay"))</f>
        <v>Short Stay</v>
      </c>
    </row>
    <row r="368" spans="1:19" x14ac:dyDescent="0.35">
      <c r="A368" t="s">
        <v>575</v>
      </c>
      <c r="B368" t="s">
        <v>33</v>
      </c>
      <c r="C368" t="s">
        <v>25</v>
      </c>
      <c r="D368">
        <v>42.654789999999998</v>
      </c>
      <c r="E368">
        <v>-73.762739999999994</v>
      </c>
      <c r="F368" t="s">
        <v>22</v>
      </c>
      <c r="G368">
        <v>99</v>
      </c>
      <c r="H368">
        <v>30</v>
      </c>
      <c r="I368">
        <v>0</v>
      </c>
      <c r="K368">
        <v>0</v>
      </c>
      <c r="L368">
        <v>11</v>
      </c>
      <c r="M368">
        <v>365</v>
      </c>
      <c r="N368">
        <v>0</v>
      </c>
      <c r="O368" t="str">
        <f t="shared" si="10"/>
        <v>0-100</v>
      </c>
      <c r="P368" t="str">
        <f>IF(airbnb_data3[[#This Row],[price]]&lt;=100,"Budget",
IF(airbnb_data3[[#This Row],[price]]&lt;=200,"Mid-range",
IF(airbnb_data3[[#This Row],[price]]&lt;=300,"Premium","Luxury")))</f>
        <v>Budget</v>
      </c>
      <c r="Q368" t="str">
        <f>IF(airbnb_data3[[#This Row],[availability_365]]&lt;=120,"Low Availability",IF(airbnb_data3[[#This Row],[availability_365]]&lt;=240,"Medium Availability","High Availability"))</f>
        <v>High Availability</v>
      </c>
      <c r="R368" s="6" t="str">
        <f t="shared" si="11"/>
        <v>Medium</v>
      </c>
      <c r="S368" s="6" t="str">
        <f>IF(airbnb_data3[[#This Row],[minimum_nights]]&lt;=3,"Short Stay",IF(airbnb_data3[[#This Row],[minimum_nights]]&lt;=7,"Medium Stay","Long Stay"))</f>
        <v>Long Stay</v>
      </c>
    </row>
    <row r="369" spans="1:19" x14ac:dyDescent="0.35">
      <c r="A369" t="s">
        <v>576</v>
      </c>
      <c r="B369" t="s">
        <v>524</v>
      </c>
      <c r="C369" t="s">
        <v>64</v>
      </c>
      <c r="D369">
        <v>42.641660000000002</v>
      </c>
      <c r="E369">
        <v>-73.784239999999997</v>
      </c>
      <c r="F369" t="s">
        <v>31</v>
      </c>
      <c r="G369">
        <v>126</v>
      </c>
      <c r="H369">
        <v>1</v>
      </c>
      <c r="I369">
        <v>3</v>
      </c>
      <c r="J369" s="1">
        <v>46151</v>
      </c>
      <c r="K369">
        <v>0.33</v>
      </c>
      <c r="L369">
        <v>1</v>
      </c>
      <c r="M369">
        <v>136</v>
      </c>
      <c r="N369">
        <v>3</v>
      </c>
      <c r="O369" t="str">
        <f t="shared" si="10"/>
        <v>101-200</v>
      </c>
      <c r="P369" t="str">
        <f>IF(airbnb_data3[[#This Row],[price]]&lt;=100,"Budget",
IF(airbnb_data3[[#This Row],[price]]&lt;=200,"Mid-range",
IF(airbnb_data3[[#This Row],[price]]&lt;=300,"Premium","Luxury")))</f>
        <v>Mid-range</v>
      </c>
      <c r="Q369" t="str">
        <f>IF(airbnb_data3[[#This Row],[availability_365]]&lt;=120,"Low Availability",IF(airbnb_data3[[#This Row],[availability_365]]&lt;=240,"Medium Availability","High Availability"))</f>
        <v>Medium Availability</v>
      </c>
      <c r="R369" s="6" t="str">
        <f t="shared" si="11"/>
        <v>Medium</v>
      </c>
      <c r="S369" s="6" t="str">
        <f>IF(airbnb_data3[[#This Row],[minimum_nights]]&lt;=3,"Short Stay",IF(airbnb_data3[[#This Row],[minimum_nights]]&lt;=7,"Medium Stay","Long Stay"))</f>
        <v>Short Stay</v>
      </c>
    </row>
    <row r="370" spans="1:19" x14ac:dyDescent="0.35">
      <c r="A370" t="s">
        <v>577</v>
      </c>
      <c r="B370" t="s">
        <v>578</v>
      </c>
      <c r="C370" t="s">
        <v>25</v>
      </c>
      <c r="D370">
        <v>42.652940000000001</v>
      </c>
      <c r="E370">
        <v>-73.765110000000007</v>
      </c>
      <c r="F370" t="s">
        <v>22</v>
      </c>
      <c r="G370">
        <v>160</v>
      </c>
      <c r="H370">
        <v>1</v>
      </c>
      <c r="I370">
        <v>0</v>
      </c>
      <c r="K370">
        <v>0</v>
      </c>
      <c r="L370">
        <v>6</v>
      </c>
      <c r="M370">
        <v>359</v>
      </c>
      <c r="N370">
        <v>0</v>
      </c>
      <c r="O370" t="str">
        <f t="shared" si="10"/>
        <v>101-200</v>
      </c>
      <c r="P370" t="str">
        <f>IF(airbnb_data3[[#This Row],[price]]&lt;=100,"Budget",
IF(airbnb_data3[[#This Row],[price]]&lt;=200,"Mid-range",
IF(airbnb_data3[[#This Row],[price]]&lt;=300,"Premium","Luxury")))</f>
        <v>Mid-range</v>
      </c>
      <c r="Q370" t="str">
        <f>IF(airbnb_data3[[#This Row],[availability_365]]&lt;=120,"Low Availability",IF(airbnb_data3[[#This Row],[availability_365]]&lt;=240,"Medium Availability","High Availability"))</f>
        <v>High Availability</v>
      </c>
      <c r="R370" s="6" t="str">
        <f t="shared" si="11"/>
        <v>Medium</v>
      </c>
      <c r="S370" s="6" t="str">
        <f>IF(airbnb_data3[[#This Row],[minimum_nights]]&lt;=3,"Short Stay",IF(airbnb_data3[[#This Row],[minimum_nights]]&lt;=7,"Medium Stay","Long Stay"))</f>
        <v>Short Stay</v>
      </c>
    </row>
    <row r="371" spans="1:19" x14ac:dyDescent="0.35">
      <c r="A371" t="s">
        <v>579</v>
      </c>
      <c r="B371" t="s">
        <v>578</v>
      </c>
      <c r="C371" t="s">
        <v>91</v>
      </c>
      <c r="D371">
        <v>42.674106128151202</v>
      </c>
      <c r="E371">
        <v>-73.750677670169907</v>
      </c>
      <c r="F371" t="s">
        <v>22</v>
      </c>
      <c r="G371">
        <v>174</v>
      </c>
      <c r="H371">
        <v>2</v>
      </c>
      <c r="I371">
        <v>1</v>
      </c>
      <c r="J371" s="1">
        <v>46107</v>
      </c>
      <c r="K371">
        <v>0.36</v>
      </c>
      <c r="L371">
        <v>6</v>
      </c>
      <c r="M371">
        <v>135</v>
      </c>
      <c r="N371">
        <v>1</v>
      </c>
      <c r="O371" t="str">
        <f t="shared" si="10"/>
        <v>101-200</v>
      </c>
      <c r="P371" t="str">
        <f>IF(airbnb_data3[[#This Row],[price]]&lt;=100,"Budget",
IF(airbnb_data3[[#This Row],[price]]&lt;=200,"Mid-range",
IF(airbnb_data3[[#This Row],[price]]&lt;=300,"Premium","Luxury")))</f>
        <v>Mid-range</v>
      </c>
      <c r="Q371" t="str">
        <f>IF(airbnb_data3[[#This Row],[availability_365]]&lt;=120,"Low Availability",IF(airbnb_data3[[#This Row],[availability_365]]&lt;=240,"Medium Availability","High Availability"))</f>
        <v>Medium Availability</v>
      </c>
      <c r="R371" s="6" t="str">
        <f t="shared" si="11"/>
        <v>Medium</v>
      </c>
      <c r="S371" s="6" t="str">
        <f>IF(airbnb_data3[[#This Row],[minimum_nights]]&lt;=3,"Short Stay",IF(airbnb_data3[[#This Row],[minimum_nights]]&lt;=7,"Medium Stay","Long Stay"))</f>
        <v>Short Stay</v>
      </c>
    </row>
    <row r="372" spans="1:19" x14ac:dyDescent="0.35">
      <c r="A372" t="s">
        <v>580</v>
      </c>
      <c r="B372" t="s">
        <v>578</v>
      </c>
      <c r="C372" t="s">
        <v>25</v>
      </c>
      <c r="D372">
        <v>42.655619999999999</v>
      </c>
      <c r="E372">
        <v>-73.764449999999997</v>
      </c>
      <c r="F372" t="s">
        <v>22</v>
      </c>
      <c r="G372">
        <v>128</v>
      </c>
      <c r="H372">
        <v>2</v>
      </c>
      <c r="I372">
        <v>0</v>
      </c>
      <c r="K372">
        <v>0</v>
      </c>
      <c r="L372">
        <v>6</v>
      </c>
      <c r="M372">
        <v>358</v>
      </c>
      <c r="N372">
        <v>0</v>
      </c>
      <c r="O372" t="str">
        <f t="shared" si="10"/>
        <v>101-200</v>
      </c>
      <c r="P372" t="str">
        <f>IF(airbnb_data3[[#This Row],[price]]&lt;=100,"Budget",
IF(airbnb_data3[[#This Row],[price]]&lt;=200,"Mid-range",
IF(airbnb_data3[[#This Row],[price]]&lt;=300,"Premium","Luxury")))</f>
        <v>Mid-range</v>
      </c>
      <c r="Q372" t="str">
        <f>IF(airbnb_data3[[#This Row],[availability_365]]&lt;=120,"Low Availability",IF(airbnb_data3[[#This Row],[availability_365]]&lt;=240,"Medium Availability","High Availability"))</f>
        <v>High Availability</v>
      </c>
      <c r="R372" s="6" t="str">
        <f t="shared" si="11"/>
        <v>Medium</v>
      </c>
      <c r="S372" s="6" t="str">
        <f>IF(airbnb_data3[[#This Row],[minimum_nights]]&lt;=3,"Short Stay",IF(airbnb_data3[[#This Row],[minimum_nights]]&lt;=7,"Medium Stay","Long Stay"))</f>
        <v>Short Stay</v>
      </c>
    </row>
    <row r="373" spans="1:19" x14ac:dyDescent="0.35">
      <c r="A373" t="s">
        <v>581</v>
      </c>
      <c r="B373" t="s">
        <v>578</v>
      </c>
      <c r="C373" t="s">
        <v>25</v>
      </c>
      <c r="D373">
        <v>42.654260000000001</v>
      </c>
      <c r="E373">
        <v>-73.763080000000002</v>
      </c>
      <c r="F373" t="s">
        <v>22</v>
      </c>
      <c r="G373">
        <v>116</v>
      </c>
      <c r="H373">
        <v>2</v>
      </c>
      <c r="I373">
        <v>1</v>
      </c>
      <c r="J373" s="1">
        <v>46091</v>
      </c>
      <c r="K373">
        <v>0.3</v>
      </c>
      <c r="L373">
        <v>6</v>
      </c>
      <c r="M373">
        <v>359</v>
      </c>
      <c r="N373">
        <v>1</v>
      </c>
      <c r="O373" t="str">
        <f t="shared" si="10"/>
        <v>101-200</v>
      </c>
      <c r="P373" t="str">
        <f>IF(airbnb_data3[[#This Row],[price]]&lt;=100,"Budget",
IF(airbnb_data3[[#This Row],[price]]&lt;=200,"Mid-range",
IF(airbnb_data3[[#This Row],[price]]&lt;=300,"Premium","Luxury")))</f>
        <v>Mid-range</v>
      </c>
      <c r="Q373" t="str">
        <f>IF(airbnb_data3[[#This Row],[availability_365]]&lt;=120,"Low Availability",IF(airbnb_data3[[#This Row],[availability_365]]&lt;=240,"Medium Availability","High Availability"))</f>
        <v>High Availability</v>
      </c>
      <c r="R373" s="6" t="str">
        <f t="shared" si="11"/>
        <v>Medium</v>
      </c>
      <c r="S373" s="6" t="str">
        <f>IF(airbnb_data3[[#This Row],[minimum_nights]]&lt;=3,"Short Stay",IF(airbnb_data3[[#This Row],[minimum_nights]]&lt;=7,"Medium Stay","Long Stay"))</f>
        <v>Short Stay</v>
      </c>
    </row>
    <row r="374" spans="1:19" x14ac:dyDescent="0.35">
      <c r="A374" t="s">
        <v>582</v>
      </c>
      <c r="B374" t="s">
        <v>578</v>
      </c>
      <c r="C374" t="s">
        <v>25</v>
      </c>
      <c r="D374">
        <v>42.652279999999998</v>
      </c>
      <c r="E374">
        <v>-73.76491</v>
      </c>
      <c r="F374" t="s">
        <v>22</v>
      </c>
      <c r="G374">
        <v>137</v>
      </c>
      <c r="H374">
        <v>2</v>
      </c>
      <c r="I374">
        <v>0</v>
      </c>
      <c r="K374">
        <v>0</v>
      </c>
      <c r="L374">
        <v>6</v>
      </c>
      <c r="M374">
        <v>361</v>
      </c>
      <c r="N374">
        <v>0</v>
      </c>
      <c r="O374" t="str">
        <f t="shared" si="10"/>
        <v>101-200</v>
      </c>
      <c r="P374" t="str">
        <f>IF(airbnb_data3[[#This Row],[price]]&lt;=100,"Budget",
IF(airbnb_data3[[#This Row],[price]]&lt;=200,"Mid-range",
IF(airbnb_data3[[#This Row],[price]]&lt;=300,"Premium","Luxury")))</f>
        <v>Mid-range</v>
      </c>
      <c r="Q374" t="str">
        <f>IF(airbnb_data3[[#This Row],[availability_365]]&lt;=120,"Low Availability",IF(airbnb_data3[[#This Row],[availability_365]]&lt;=240,"Medium Availability","High Availability"))</f>
        <v>High Availability</v>
      </c>
      <c r="R374" s="6" t="str">
        <f t="shared" si="11"/>
        <v>Medium</v>
      </c>
      <c r="S374" s="6" t="str">
        <f>IF(airbnb_data3[[#This Row],[minimum_nights]]&lt;=3,"Short Stay",IF(airbnb_data3[[#This Row],[minimum_nights]]&lt;=7,"Medium Stay","Long Stay"))</f>
        <v>Short Stay</v>
      </c>
    </row>
    <row r="375" spans="1:19" x14ac:dyDescent="0.35">
      <c r="A375" t="s">
        <v>583</v>
      </c>
      <c r="B375" t="s">
        <v>578</v>
      </c>
      <c r="C375" t="s">
        <v>25</v>
      </c>
      <c r="D375">
        <v>42.653030000000001</v>
      </c>
      <c r="E375">
        <v>-73.761009999999999</v>
      </c>
      <c r="F375" t="s">
        <v>22</v>
      </c>
      <c r="G375">
        <v>213</v>
      </c>
      <c r="H375">
        <v>2</v>
      </c>
      <c r="I375">
        <v>0</v>
      </c>
      <c r="K375">
        <v>0</v>
      </c>
      <c r="L375">
        <v>6</v>
      </c>
      <c r="M375">
        <v>358</v>
      </c>
      <c r="N375">
        <v>0</v>
      </c>
      <c r="O375" t="str">
        <f t="shared" si="10"/>
        <v>201-300</v>
      </c>
      <c r="P375" t="str">
        <f>IF(airbnb_data3[[#This Row],[price]]&lt;=100,"Budget",
IF(airbnb_data3[[#This Row],[price]]&lt;=200,"Mid-range",
IF(airbnb_data3[[#This Row],[price]]&lt;=300,"Premium","Luxury")))</f>
        <v>Premium</v>
      </c>
      <c r="Q375" t="str">
        <f>IF(airbnb_data3[[#This Row],[availability_365]]&lt;=120,"Low Availability",IF(airbnb_data3[[#This Row],[availability_365]]&lt;=240,"Medium Availability","High Availability"))</f>
        <v>High Availability</v>
      </c>
      <c r="R375" s="6" t="str">
        <f t="shared" si="11"/>
        <v>Medium</v>
      </c>
      <c r="S375" s="6" t="str">
        <f>IF(airbnb_data3[[#This Row],[minimum_nights]]&lt;=3,"Short Stay",IF(airbnb_data3[[#This Row],[minimum_nights]]&lt;=7,"Medium Stay","Long Stay"))</f>
        <v>Short Stay</v>
      </c>
    </row>
    <row r="376" spans="1:19" x14ac:dyDescent="0.35">
      <c r="A376" t="s">
        <v>584</v>
      </c>
      <c r="B376" t="s">
        <v>33</v>
      </c>
      <c r="C376" t="s">
        <v>51</v>
      </c>
      <c r="D376">
        <v>42.655270000000002</v>
      </c>
      <c r="E376">
        <v>-73.785849999999996</v>
      </c>
      <c r="F376" t="s">
        <v>22</v>
      </c>
      <c r="G376">
        <v>193</v>
      </c>
      <c r="H376">
        <v>7</v>
      </c>
      <c r="I376">
        <v>1</v>
      </c>
      <c r="J376" s="1">
        <v>46010</v>
      </c>
      <c r="K376">
        <v>0.17</v>
      </c>
      <c r="L376">
        <v>11</v>
      </c>
      <c r="M376">
        <v>339</v>
      </c>
      <c r="N376">
        <v>1</v>
      </c>
      <c r="O376" t="str">
        <f t="shared" si="10"/>
        <v>101-200</v>
      </c>
      <c r="P376" t="str">
        <f>IF(airbnb_data3[[#This Row],[price]]&lt;=100,"Budget",
IF(airbnb_data3[[#This Row],[price]]&lt;=200,"Mid-range",
IF(airbnb_data3[[#This Row],[price]]&lt;=300,"Premium","Luxury")))</f>
        <v>Mid-range</v>
      </c>
      <c r="Q376" t="str">
        <f>IF(airbnb_data3[[#This Row],[availability_365]]&lt;=120,"Low Availability",IF(airbnb_data3[[#This Row],[availability_365]]&lt;=240,"Medium Availability","High Availability"))</f>
        <v>High Availability</v>
      </c>
      <c r="R376" s="6" t="str">
        <f t="shared" si="11"/>
        <v>Medium</v>
      </c>
      <c r="S376" s="6" t="str">
        <f>IF(airbnb_data3[[#This Row],[minimum_nights]]&lt;=3,"Short Stay",IF(airbnb_data3[[#This Row],[minimum_nights]]&lt;=7,"Medium Stay","Long Stay"))</f>
        <v>Medium Stay</v>
      </c>
    </row>
    <row r="377" spans="1:19" x14ac:dyDescent="0.35">
      <c r="A377" t="s">
        <v>585</v>
      </c>
      <c r="B377" t="s">
        <v>586</v>
      </c>
      <c r="C377" t="s">
        <v>47</v>
      </c>
      <c r="D377">
        <v>42.658410000000003</v>
      </c>
      <c r="E377">
        <v>-73.783209999999997</v>
      </c>
      <c r="F377" t="s">
        <v>22</v>
      </c>
      <c r="G377">
        <v>465</v>
      </c>
      <c r="H377">
        <v>1</v>
      </c>
      <c r="I377">
        <v>32</v>
      </c>
      <c r="J377" s="1">
        <v>46188</v>
      </c>
      <c r="K377">
        <v>6.19</v>
      </c>
      <c r="L377">
        <v>1</v>
      </c>
      <c r="M377">
        <v>320</v>
      </c>
      <c r="N377">
        <v>32</v>
      </c>
      <c r="O377" t="str">
        <f t="shared" si="10"/>
        <v>301-500</v>
      </c>
      <c r="P377" t="str">
        <f>IF(airbnb_data3[[#This Row],[price]]&lt;=100,"Budget",
IF(airbnb_data3[[#This Row],[price]]&lt;=200,"Mid-range",
IF(airbnb_data3[[#This Row],[price]]&lt;=300,"Premium","Luxury")))</f>
        <v>Luxury</v>
      </c>
      <c r="Q377" t="str">
        <f>IF(airbnb_data3[[#This Row],[availability_365]]&lt;=120,"Low Availability",IF(airbnb_data3[[#This Row],[availability_365]]&lt;=240,"Medium Availability","High Availability"))</f>
        <v>High Availability</v>
      </c>
      <c r="R377" s="6" t="str">
        <f t="shared" si="11"/>
        <v>Medium</v>
      </c>
      <c r="S377" s="6" t="str">
        <f>IF(airbnb_data3[[#This Row],[minimum_nights]]&lt;=3,"Short Stay",IF(airbnb_data3[[#This Row],[minimum_nights]]&lt;=7,"Medium Stay","Long Stay"))</f>
        <v>Short Stay</v>
      </c>
    </row>
    <row r="378" spans="1:19" x14ac:dyDescent="0.35">
      <c r="A378" t="s">
        <v>587</v>
      </c>
      <c r="B378" t="s">
        <v>504</v>
      </c>
      <c r="C378" t="s">
        <v>40</v>
      </c>
      <c r="D378">
        <v>42.681699999999999</v>
      </c>
      <c r="E378">
        <v>-73.784390000000002</v>
      </c>
      <c r="F378" t="s">
        <v>22</v>
      </c>
      <c r="G378">
        <v>102</v>
      </c>
      <c r="H378">
        <v>1</v>
      </c>
      <c r="I378">
        <v>5</v>
      </c>
      <c r="J378" s="1">
        <v>46137</v>
      </c>
      <c r="K378">
        <v>0.6</v>
      </c>
      <c r="L378">
        <v>29</v>
      </c>
      <c r="M378">
        <v>365</v>
      </c>
      <c r="N378">
        <v>5</v>
      </c>
      <c r="O378" t="str">
        <f t="shared" si="10"/>
        <v>101-200</v>
      </c>
      <c r="P378" t="str">
        <f>IF(airbnb_data3[[#This Row],[price]]&lt;=100,"Budget",
IF(airbnb_data3[[#This Row],[price]]&lt;=200,"Mid-range",
IF(airbnb_data3[[#This Row],[price]]&lt;=300,"Premium","Luxury")))</f>
        <v>Mid-range</v>
      </c>
      <c r="Q378" t="str">
        <f>IF(airbnb_data3[[#This Row],[availability_365]]&lt;=120,"Low Availability",IF(airbnb_data3[[#This Row],[availability_365]]&lt;=240,"Medium Availability","High Availability"))</f>
        <v>High Availability</v>
      </c>
      <c r="R378" s="6" t="str">
        <f t="shared" si="11"/>
        <v>Medium</v>
      </c>
      <c r="S378" s="6" t="str">
        <f>IF(airbnb_data3[[#This Row],[minimum_nights]]&lt;=3,"Short Stay",IF(airbnb_data3[[#This Row],[minimum_nights]]&lt;=7,"Medium Stay","Long Stay"))</f>
        <v>Short Stay</v>
      </c>
    </row>
    <row r="379" spans="1:19" x14ac:dyDescent="0.35">
      <c r="A379" t="s">
        <v>588</v>
      </c>
      <c r="B379" t="s">
        <v>182</v>
      </c>
      <c r="C379" t="s">
        <v>25</v>
      </c>
      <c r="D379">
        <v>42.653930000000003</v>
      </c>
      <c r="E379">
        <v>-73.769300000000001</v>
      </c>
      <c r="F379" t="s">
        <v>22</v>
      </c>
      <c r="G379">
        <v>143</v>
      </c>
      <c r="H379">
        <v>1</v>
      </c>
      <c r="I379">
        <v>13</v>
      </c>
      <c r="J379" s="1">
        <v>46166</v>
      </c>
      <c r="K379">
        <v>1.78</v>
      </c>
      <c r="L379">
        <v>16</v>
      </c>
      <c r="M379">
        <v>329</v>
      </c>
      <c r="N379">
        <v>13</v>
      </c>
      <c r="O379" t="str">
        <f t="shared" si="10"/>
        <v>101-200</v>
      </c>
      <c r="P379" t="str">
        <f>IF(airbnb_data3[[#This Row],[price]]&lt;=100,"Budget",
IF(airbnb_data3[[#This Row],[price]]&lt;=200,"Mid-range",
IF(airbnb_data3[[#This Row],[price]]&lt;=300,"Premium","Luxury")))</f>
        <v>Mid-range</v>
      </c>
      <c r="Q379" t="str">
        <f>IF(airbnb_data3[[#This Row],[availability_365]]&lt;=120,"Low Availability",IF(airbnb_data3[[#This Row],[availability_365]]&lt;=240,"Medium Availability","High Availability"))</f>
        <v>High Availability</v>
      </c>
      <c r="R379" s="6" t="str">
        <f t="shared" si="11"/>
        <v>Medium</v>
      </c>
      <c r="S379" s="6" t="str">
        <f>IF(airbnb_data3[[#This Row],[minimum_nights]]&lt;=3,"Short Stay",IF(airbnb_data3[[#This Row],[minimum_nights]]&lt;=7,"Medium Stay","Long Stay"))</f>
        <v>Short Stay</v>
      </c>
    </row>
    <row r="380" spans="1:19" x14ac:dyDescent="0.35">
      <c r="A380" t="s">
        <v>589</v>
      </c>
      <c r="B380" t="s">
        <v>590</v>
      </c>
      <c r="C380" t="s">
        <v>25</v>
      </c>
      <c r="D380">
        <v>42.653233540771701</v>
      </c>
      <c r="E380">
        <v>-73.767179511487399</v>
      </c>
      <c r="F380" t="s">
        <v>22</v>
      </c>
      <c r="G380">
        <v>234</v>
      </c>
      <c r="H380">
        <v>1</v>
      </c>
      <c r="I380">
        <v>3</v>
      </c>
      <c r="J380" s="1">
        <v>46125</v>
      </c>
      <c r="K380">
        <v>0.38</v>
      </c>
      <c r="L380">
        <v>2</v>
      </c>
      <c r="M380">
        <v>330</v>
      </c>
      <c r="N380">
        <v>3</v>
      </c>
      <c r="O380" t="str">
        <f t="shared" si="10"/>
        <v>201-300</v>
      </c>
      <c r="P380" t="str">
        <f>IF(airbnb_data3[[#This Row],[price]]&lt;=100,"Budget",
IF(airbnb_data3[[#This Row],[price]]&lt;=200,"Mid-range",
IF(airbnb_data3[[#This Row],[price]]&lt;=300,"Premium","Luxury")))</f>
        <v>Premium</v>
      </c>
      <c r="Q380" t="str">
        <f>IF(airbnb_data3[[#This Row],[availability_365]]&lt;=120,"Low Availability",IF(airbnb_data3[[#This Row],[availability_365]]&lt;=240,"Medium Availability","High Availability"))</f>
        <v>High Availability</v>
      </c>
      <c r="R380" s="6" t="str">
        <f t="shared" si="11"/>
        <v>Medium</v>
      </c>
      <c r="S380" s="6" t="str">
        <f>IF(airbnb_data3[[#This Row],[minimum_nights]]&lt;=3,"Short Stay",IF(airbnb_data3[[#This Row],[minimum_nights]]&lt;=7,"Medium Stay","Long Stay"))</f>
        <v>Short Stay</v>
      </c>
    </row>
    <row r="381" spans="1:19" x14ac:dyDescent="0.35">
      <c r="A381" t="s">
        <v>591</v>
      </c>
      <c r="B381" t="s">
        <v>592</v>
      </c>
      <c r="C381" t="s">
        <v>51</v>
      </c>
      <c r="D381">
        <v>42.655391994210497</v>
      </c>
      <c r="E381">
        <v>-73.792231617409996</v>
      </c>
      <c r="F381" t="s">
        <v>31</v>
      </c>
      <c r="G381">
        <v>106</v>
      </c>
      <c r="H381">
        <v>1</v>
      </c>
      <c r="I381">
        <v>0</v>
      </c>
      <c r="K381">
        <v>0</v>
      </c>
      <c r="L381">
        <v>2</v>
      </c>
      <c r="M381">
        <v>125</v>
      </c>
      <c r="N381">
        <v>0</v>
      </c>
      <c r="O381" t="str">
        <f t="shared" si="10"/>
        <v>101-200</v>
      </c>
      <c r="P381" t="str">
        <f>IF(airbnb_data3[[#This Row],[price]]&lt;=100,"Budget",
IF(airbnb_data3[[#This Row],[price]]&lt;=200,"Mid-range",
IF(airbnb_data3[[#This Row],[price]]&lt;=300,"Premium","Luxury")))</f>
        <v>Mid-range</v>
      </c>
      <c r="Q381" t="str">
        <f>IF(airbnb_data3[[#This Row],[availability_365]]&lt;=120,"Low Availability",IF(airbnb_data3[[#This Row],[availability_365]]&lt;=240,"Medium Availability","High Availability"))</f>
        <v>Medium Availability</v>
      </c>
      <c r="R381" s="6" t="str">
        <f t="shared" si="11"/>
        <v>Medium</v>
      </c>
      <c r="S381" s="6" t="str">
        <f>IF(airbnb_data3[[#This Row],[minimum_nights]]&lt;=3,"Short Stay",IF(airbnb_data3[[#This Row],[minimum_nights]]&lt;=7,"Medium Stay","Long Stay"))</f>
        <v>Short Stay</v>
      </c>
    </row>
    <row r="382" spans="1:19" x14ac:dyDescent="0.35">
      <c r="A382" t="s">
        <v>593</v>
      </c>
      <c r="B382" t="s">
        <v>182</v>
      </c>
      <c r="C382" t="s">
        <v>25</v>
      </c>
      <c r="D382">
        <v>42.654200000000003</v>
      </c>
      <c r="E382">
        <v>-73.771280000000004</v>
      </c>
      <c r="F382" t="s">
        <v>22</v>
      </c>
      <c r="G382">
        <v>210</v>
      </c>
      <c r="H382">
        <v>1</v>
      </c>
      <c r="I382">
        <v>27</v>
      </c>
      <c r="J382" s="1">
        <v>46174</v>
      </c>
      <c r="K382">
        <v>3.25</v>
      </c>
      <c r="L382">
        <v>16</v>
      </c>
      <c r="M382">
        <v>324</v>
      </c>
      <c r="N382">
        <v>27</v>
      </c>
      <c r="O382" t="str">
        <f t="shared" si="10"/>
        <v>201-300</v>
      </c>
      <c r="P382" t="str">
        <f>IF(airbnb_data3[[#This Row],[price]]&lt;=100,"Budget",
IF(airbnb_data3[[#This Row],[price]]&lt;=200,"Mid-range",
IF(airbnb_data3[[#This Row],[price]]&lt;=300,"Premium","Luxury")))</f>
        <v>Premium</v>
      </c>
      <c r="Q382" t="str">
        <f>IF(airbnb_data3[[#This Row],[availability_365]]&lt;=120,"Low Availability",IF(airbnb_data3[[#This Row],[availability_365]]&lt;=240,"Medium Availability","High Availability"))</f>
        <v>High Availability</v>
      </c>
      <c r="R382" s="6" t="str">
        <f t="shared" si="11"/>
        <v>Medium</v>
      </c>
      <c r="S382" s="6" t="str">
        <f>IF(airbnb_data3[[#This Row],[minimum_nights]]&lt;=3,"Short Stay",IF(airbnb_data3[[#This Row],[minimum_nights]]&lt;=7,"Medium Stay","Long Stay"))</f>
        <v>Short Stay</v>
      </c>
    </row>
    <row r="383" spans="1:19" x14ac:dyDescent="0.35">
      <c r="A383" t="s">
        <v>594</v>
      </c>
      <c r="B383" t="s">
        <v>595</v>
      </c>
      <c r="C383" t="s">
        <v>84</v>
      </c>
      <c r="D383">
        <v>42.642732215973801</v>
      </c>
      <c r="E383">
        <v>-73.792087736185096</v>
      </c>
      <c r="F383" t="s">
        <v>22</v>
      </c>
      <c r="G383">
        <v>185</v>
      </c>
      <c r="H383">
        <v>1</v>
      </c>
      <c r="I383">
        <v>53</v>
      </c>
      <c r="J383" s="1">
        <v>46175</v>
      </c>
      <c r="K383">
        <v>6.6</v>
      </c>
      <c r="L383">
        <v>1</v>
      </c>
      <c r="M383">
        <v>282</v>
      </c>
      <c r="N383">
        <v>53</v>
      </c>
      <c r="O383" t="str">
        <f t="shared" si="10"/>
        <v>101-200</v>
      </c>
      <c r="P383" t="str">
        <f>IF(airbnb_data3[[#This Row],[price]]&lt;=100,"Budget",
IF(airbnb_data3[[#This Row],[price]]&lt;=200,"Mid-range",
IF(airbnb_data3[[#This Row],[price]]&lt;=300,"Premium","Luxury")))</f>
        <v>Mid-range</v>
      </c>
      <c r="Q383" t="str">
        <f>IF(airbnb_data3[[#This Row],[availability_365]]&lt;=120,"Low Availability",IF(airbnb_data3[[#This Row],[availability_365]]&lt;=240,"Medium Availability","High Availability"))</f>
        <v>High Availability</v>
      </c>
      <c r="R383" s="6" t="str">
        <f t="shared" si="11"/>
        <v>Medium</v>
      </c>
      <c r="S383" s="6" t="str">
        <f>IF(airbnb_data3[[#This Row],[minimum_nights]]&lt;=3,"Short Stay",IF(airbnb_data3[[#This Row],[minimum_nights]]&lt;=7,"Medium Stay","Long Stay"))</f>
        <v>Short Stay</v>
      </c>
    </row>
    <row r="384" spans="1:19" x14ac:dyDescent="0.35">
      <c r="A384" t="s">
        <v>596</v>
      </c>
      <c r="B384" t="s">
        <v>597</v>
      </c>
      <c r="C384" t="s">
        <v>51</v>
      </c>
      <c r="D384">
        <v>42.647239999999996</v>
      </c>
      <c r="E384">
        <v>-73.791259999999994</v>
      </c>
      <c r="F384" t="s">
        <v>31</v>
      </c>
      <c r="G384">
        <v>109</v>
      </c>
      <c r="H384">
        <v>1</v>
      </c>
      <c r="I384">
        <v>12</v>
      </c>
      <c r="J384" s="1">
        <v>46187</v>
      </c>
      <c r="K384">
        <v>1.49</v>
      </c>
      <c r="L384">
        <v>1</v>
      </c>
      <c r="M384">
        <v>323</v>
      </c>
      <c r="N384">
        <v>12</v>
      </c>
      <c r="O384" t="str">
        <f t="shared" si="10"/>
        <v>101-200</v>
      </c>
      <c r="P384" t="str">
        <f>IF(airbnb_data3[[#This Row],[price]]&lt;=100,"Budget",
IF(airbnb_data3[[#This Row],[price]]&lt;=200,"Mid-range",
IF(airbnb_data3[[#This Row],[price]]&lt;=300,"Premium","Luxury")))</f>
        <v>Mid-range</v>
      </c>
      <c r="Q384" t="str">
        <f>IF(airbnb_data3[[#This Row],[availability_365]]&lt;=120,"Low Availability",IF(airbnb_data3[[#This Row],[availability_365]]&lt;=240,"Medium Availability","High Availability"))</f>
        <v>High Availability</v>
      </c>
      <c r="R384" s="6" t="str">
        <f t="shared" si="11"/>
        <v>Medium</v>
      </c>
      <c r="S384" s="6" t="str">
        <f>IF(airbnb_data3[[#This Row],[minimum_nights]]&lt;=3,"Short Stay",IF(airbnb_data3[[#This Row],[minimum_nights]]&lt;=7,"Medium Stay","Long Stay"))</f>
        <v>Short Stay</v>
      </c>
    </row>
    <row r="385" spans="1:19" x14ac:dyDescent="0.35">
      <c r="A385" t="s">
        <v>598</v>
      </c>
      <c r="B385" t="s">
        <v>592</v>
      </c>
      <c r="C385" t="s">
        <v>51</v>
      </c>
      <c r="D385">
        <v>42.656019999999998</v>
      </c>
      <c r="E385">
        <v>-73.790930000000003</v>
      </c>
      <c r="F385" t="s">
        <v>31</v>
      </c>
      <c r="G385">
        <v>89</v>
      </c>
      <c r="H385">
        <v>1</v>
      </c>
      <c r="I385">
        <v>1</v>
      </c>
      <c r="J385" s="1">
        <v>46159</v>
      </c>
      <c r="K385">
        <v>1</v>
      </c>
      <c r="L385">
        <v>2</v>
      </c>
      <c r="M385">
        <v>313</v>
      </c>
      <c r="N385">
        <v>1</v>
      </c>
      <c r="O385" t="str">
        <f t="shared" si="10"/>
        <v>0-100</v>
      </c>
      <c r="P385" t="str">
        <f>IF(airbnb_data3[[#This Row],[price]]&lt;=100,"Budget",
IF(airbnb_data3[[#This Row],[price]]&lt;=200,"Mid-range",
IF(airbnb_data3[[#This Row],[price]]&lt;=300,"Premium","Luxury")))</f>
        <v>Budget</v>
      </c>
      <c r="Q385" t="str">
        <f>IF(airbnb_data3[[#This Row],[availability_365]]&lt;=120,"Low Availability",IF(airbnb_data3[[#This Row],[availability_365]]&lt;=240,"Medium Availability","High Availability"))</f>
        <v>High Availability</v>
      </c>
      <c r="R385" s="6" t="str">
        <f t="shared" si="11"/>
        <v>Medium</v>
      </c>
      <c r="S385" s="6" t="str">
        <f>IF(airbnb_data3[[#This Row],[minimum_nights]]&lt;=3,"Short Stay",IF(airbnb_data3[[#This Row],[minimum_nights]]&lt;=7,"Medium Stay","Long Stay"))</f>
        <v>Short Stay</v>
      </c>
    </row>
    <row r="386" spans="1:19" x14ac:dyDescent="0.35">
      <c r="A386" t="s">
        <v>599</v>
      </c>
      <c r="B386" t="s">
        <v>504</v>
      </c>
      <c r="C386" t="s">
        <v>40</v>
      </c>
      <c r="D386">
        <v>42.68018</v>
      </c>
      <c r="E386">
        <v>-73.783749999999998</v>
      </c>
      <c r="F386" t="s">
        <v>22</v>
      </c>
      <c r="G386">
        <v>115</v>
      </c>
      <c r="H386">
        <v>1</v>
      </c>
      <c r="I386">
        <v>12</v>
      </c>
      <c r="J386" s="1">
        <v>46166</v>
      </c>
      <c r="K386">
        <v>1.65</v>
      </c>
      <c r="L386">
        <v>29</v>
      </c>
      <c r="M386">
        <v>351</v>
      </c>
      <c r="N386">
        <v>12</v>
      </c>
      <c r="O386" t="str">
        <f t="shared" ref="O386:O449" si="12">IF(G386&lt;=100,"0-100",
IF(G386&lt;=200,"101-200",
IF(G386&lt;=300,"201-300",
IF(G386&lt;=500,"301-500","500+"))))</f>
        <v>101-200</v>
      </c>
      <c r="P386" t="str">
        <f>IF(airbnb_data3[[#This Row],[price]]&lt;=100,"Budget",
IF(airbnb_data3[[#This Row],[price]]&lt;=200,"Mid-range",
IF(airbnb_data3[[#This Row],[price]]&lt;=300,"Premium","Luxury")))</f>
        <v>Mid-range</v>
      </c>
      <c r="Q386" t="str">
        <f>IF(airbnb_data3[[#This Row],[availability_365]]&lt;=120,"Low Availability",IF(airbnb_data3[[#This Row],[availability_365]]&lt;=240,"Medium Availability","High Availability"))</f>
        <v>High Availability</v>
      </c>
      <c r="R386" s="6" t="str">
        <f t="shared" ref="R386:R449" si="13">IF(R387&lt;=25,"Low",IF(I388&lt;=100,"Medium","High"))</f>
        <v>Medium</v>
      </c>
      <c r="S386" s="6" t="str">
        <f>IF(airbnb_data3[[#This Row],[minimum_nights]]&lt;=3,"Short Stay",IF(airbnb_data3[[#This Row],[minimum_nights]]&lt;=7,"Medium Stay","Long Stay"))</f>
        <v>Short Stay</v>
      </c>
    </row>
    <row r="387" spans="1:19" x14ac:dyDescent="0.35">
      <c r="A387" t="s">
        <v>600</v>
      </c>
      <c r="B387" t="s">
        <v>504</v>
      </c>
      <c r="C387" t="s">
        <v>40</v>
      </c>
      <c r="D387">
        <v>42.680059999999997</v>
      </c>
      <c r="E387">
        <v>-73.784649999999999</v>
      </c>
      <c r="F387" t="s">
        <v>22</v>
      </c>
      <c r="G387">
        <v>105</v>
      </c>
      <c r="H387">
        <v>1</v>
      </c>
      <c r="I387">
        <v>3</v>
      </c>
      <c r="J387" s="1">
        <v>46082</v>
      </c>
      <c r="K387">
        <v>0.43</v>
      </c>
      <c r="L387">
        <v>29</v>
      </c>
      <c r="M387">
        <v>354</v>
      </c>
      <c r="N387">
        <v>3</v>
      </c>
      <c r="O387" t="str">
        <f t="shared" si="12"/>
        <v>101-200</v>
      </c>
      <c r="P387" t="str">
        <f>IF(airbnb_data3[[#This Row],[price]]&lt;=100,"Budget",
IF(airbnb_data3[[#This Row],[price]]&lt;=200,"Mid-range",
IF(airbnb_data3[[#This Row],[price]]&lt;=300,"Premium","Luxury")))</f>
        <v>Mid-range</v>
      </c>
      <c r="Q387" t="str">
        <f>IF(airbnb_data3[[#This Row],[availability_365]]&lt;=120,"Low Availability",IF(airbnb_data3[[#This Row],[availability_365]]&lt;=240,"Medium Availability","High Availability"))</f>
        <v>High Availability</v>
      </c>
      <c r="R387" s="6" t="str">
        <f t="shared" si="13"/>
        <v>Medium</v>
      </c>
      <c r="S387" s="6" t="str">
        <f>IF(airbnb_data3[[#This Row],[minimum_nights]]&lt;=3,"Short Stay",IF(airbnb_data3[[#This Row],[minimum_nights]]&lt;=7,"Medium Stay","Long Stay"))</f>
        <v>Short Stay</v>
      </c>
    </row>
    <row r="388" spans="1:19" x14ac:dyDescent="0.35">
      <c r="A388" t="s">
        <v>601</v>
      </c>
      <c r="B388" t="s">
        <v>602</v>
      </c>
      <c r="C388" t="s">
        <v>117</v>
      </c>
      <c r="D388">
        <v>42.636220000000002</v>
      </c>
      <c r="E388">
        <v>-73.761520000000004</v>
      </c>
      <c r="F388" t="s">
        <v>22</v>
      </c>
      <c r="G388">
        <v>82</v>
      </c>
      <c r="H388">
        <v>1</v>
      </c>
      <c r="I388">
        <v>0</v>
      </c>
      <c r="K388">
        <v>0</v>
      </c>
      <c r="L388">
        <v>1</v>
      </c>
      <c r="M388">
        <v>351</v>
      </c>
      <c r="N388">
        <v>0</v>
      </c>
      <c r="O388" t="str">
        <f t="shared" si="12"/>
        <v>0-100</v>
      </c>
      <c r="P388" t="str">
        <f>IF(airbnb_data3[[#This Row],[price]]&lt;=100,"Budget",
IF(airbnb_data3[[#This Row],[price]]&lt;=200,"Mid-range",
IF(airbnb_data3[[#This Row],[price]]&lt;=300,"Premium","Luxury")))</f>
        <v>Budget</v>
      </c>
      <c r="Q388" t="str">
        <f>IF(airbnb_data3[[#This Row],[availability_365]]&lt;=120,"Low Availability",IF(airbnb_data3[[#This Row],[availability_365]]&lt;=240,"Medium Availability","High Availability"))</f>
        <v>High Availability</v>
      </c>
      <c r="R388" s="6" t="str">
        <f t="shared" si="13"/>
        <v>Medium</v>
      </c>
      <c r="S388" s="6" t="str">
        <f>IF(airbnb_data3[[#This Row],[minimum_nights]]&lt;=3,"Short Stay",IF(airbnb_data3[[#This Row],[minimum_nights]]&lt;=7,"Medium Stay","Long Stay"))</f>
        <v>Short Stay</v>
      </c>
    </row>
    <row r="389" spans="1:19" x14ac:dyDescent="0.35">
      <c r="A389" t="s">
        <v>603</v>
      </c>
      <c r="B389" t="s">
        <v>213</v>
      </c>
      <c r="C389" t="s">
        <v>28</v>
      </c>
      <c r="D389">
        <v>42.646854310722702</v>
      </c>
      <c r="E389">
        <v>-73.758722506463499</v>
      </c>
      <c r="F389" t="s">
        <v>22</v>
      </c>
      <c r="G389">
        <v>539</v>
      </c>
      <c r="H389">
        <v>2</v>
      </c>
      <c r="I389">
        <v>17</v>
      </c>
      <c r="J389" s="1">
        <v>46166</v>
      </c>
      <c r="K389">
        <v>3.04</v>
      </c>
      <c r="L389">
        <v>3</v>
      </c>
      <c r="M389">
        <v>90</v>
      </c>
      <c r="N389">
        <v>17</v>
      </c>
      <c r="O389" t="str">
        <f t="shared" si="12"/>
        <v>500+</v>
      </c>
      <c r="P389" t="str">
        <f>IF(airbnb_data3[[#This Row],[price]]&lt;=100,"Budget",
IF(airbnb_data3[[#This Row],[price]]&lt;=200,"Mid-range",
IF(airbnb_data3[[#This Row],[price]]&lt;=300,"Premium","Luxury")))</f>
        <v>Luxury</v>
      </c>
      <c r="Q389" t="str">
        <f>IF(airbnb_data3[[#This Row],[availability_365]]&lt;=120,"Low Availability",IF(airbnb_data3[[#This Row],[availability_365]]&lt;=240,"Medium Availability","High Availability"))</f>
        <v>Low Availability</v>
      </c>
      <c r="R389" s="6" t="str">
        <f t="shared" si="13"/>
        <v>Medium</v>
      </c>
      <c r="S389" s="6" t="str">
        <f>IF(airbnb_data3[[#This Row],[minimum_nights]]&lt;=3,"Short Stay",IF(airbnb_data3[[#This Row],[minimum_nights]]&lt;=7,"Medium Stay","Long Stay"))</f>
        <v>Short Stay</v>
      </c>
    </row>
    <row r="390" spans="1:19" x14ac:dyDescent="0.35">
      <c r="A390" t="s">
        <v>604</v>
      </c>
      <c r="B390" t="s">
        <v>605</v>
      </c>
      <c r="C390" t="s">
        <v>34</v>
      </c>
      <c r="D390">
        <v>42.658832699999998</v>
      </c>
      <c r="E390">
        <v>-73.801621699999998</v>
      </c>
      <c r="F390" t="s">
        <v>22</v>
      </c>
      <c r="G390">
        <v>253</v>
      </c>
      <c r="H390">
        <v>1</v>
      </c>
      <c r="I390">
        <v>13</v>
      </c>
      <c r="J390" s="1">
        <v>46182</v>
      </c>
      <c r="K390">
        <v>3.94</v>
      </c>
      <c r="L390">
        <v>2</v>
      </c>
      <c r="M390">
        <v>349</v>
      </c>
      <c r="N390">
        <v>13</v>
      </c>
      <c r="O390" t="str">
        <f t="shared" si="12"/>
        <v>201-300</v>
      </c>
      <c r="P390" t="str">
        <f>IF(airbnb_data3[[#This Row],[price]]&lt;=100,"Budget",
IF(airbnb_data3[[#This Row],[price]]&lt;=200,"Mid-range",
IF(airbnb_data3[[#This Row],[price]]&lt;=300,"Premium","Luxury")))</f>
        <v>Premium</v>
      </c>
      <c r="Q390" t="str">
        <f>IF(airbnb_data3[[#This Row],[availability_365]]&lt;=120,"Low Availability",IF(airbnb_data3[[#This Row],[availability_365]]&lt;=240,"Medium Availability","High Availability"))</f>
        <v>High Availability</v>
      </c>
      <c r="R390" s="6" t="str">
        <f t="shared" si="13"/>
        <v>Medium</v>
      </c>
      <c r="S390" s="6" t="str">
        <f>IF(airbnb_data3[[#This Row],[minimum_nights]]&lt;=3,"Short Stay",IF(airbnb_data3[[#This Row],[minimum_nights]]&lt;=7,"Medium Stay","Long Stay"))</f>
        <v>Short Stay</v>
      </c>
    </row>
    <row r="391" spans="1:19" x14ac:dyDescent="0.35">
      <c r="A391" t="s">
        <v>606</v>
      </c>
      <c r="B391" t="s">
        <v>122</v>
      </c>
      <c r="C391" t="s">
        <v>47</v>
      </c>
      <c r="D391">
        <v>42.661825700000001</v>
      </c>
      <c r="E391">
        <v>-73.7869405</v>
      </c>
      <c r="F391" t="s">
        <v>31</v>
      </c>
      <c r="G391">
        <v>72</v>
      </c>
      <c r="H391">
        <v>28</v>
      </c>
      <c r="I391">
        <v>1</v>
      </c>
      <c r="J391" s="1">
        <v>46154</v>
      </c>
      <c r="K391">
        <v>0.83</v>
      </c>
      <c r="L391">
        <v>21</v>
      </c>
      <c r="M391">
        <v>312</v>
      </c>
      <c r="N391">
        <v>1</v>
      </c>
      <c r="O391" t="str">
        <f t="shared" si="12"/>
        <v>0-100</v>
      </c>
      <c r="P391" t="str">
        <f>IF(airbnb_data3[[#This Row],[price]]&lt;=100,"Budget",
IF(airbnb_data3[[#This Row],[price]]&lt;=200,"Mid-range",
IF(airbnb_data3[[#This Row],[price]]&lt;=300,"Premium","Luxury")))</f>
        <v>Budget</v>
      </c>
      <c r="Q391" t="str">
        <f>IF(airbnb_data3[[#This Row],[availability_365]]&lt;=120,"Low Availability",IF(airbnb_data3[[#This Row],[availability_365]]&lt;=240,"Medium Availability","High Availability"))</f>
        <v>High Availability</v>
      </c>
      <c r="R391" s="6" t="str">
        <f t="shared" si="13"/>
        <v>Medium</v>
      </c>
      <c r="S391" s="6" t="str">
        <f>IF(airbnb_data3[[#This Row],[minimum_nights]]&lt;=3,"Short Stay",IF(airbnb_data3[[#This Row],[minimum_nights]]&lt;=7,"Medium Stay","Long Stay"))</f>
        <v>Long Stay</v>
      </c>
    </row>
    <row r="392" spans="1:19" x14ac:dyDescent="0.35">
      <c r="A392" t="s">
        <v>607</v>
      </c>
      <c r="B392" t="s">
        <v>24</v>
      </c>
      <c r="C392" t="s">
        <v>25</v>
      </c>
      <c r="D392">
        <v>42.653638559002999</v>
      </c>
      <c r="E392">
        <v>-73.766035156274995</v>
      </c>
      <c r="F392" t="s">
        <v>22</v>
      </c>
      <c r="G392">
        <v>119</v>
      </c>
      <c r="H392">
        <v>1</v>
      </c>
      <c r="I392">
        <v>19</v>
      </c>
      <c r="J392" s="1">
        <v>46184</v>
      </c>
      <c r="K392">
        <v>3.73</v>
      </c>
      <c r="L392">
        <v>7</v>
      </c>
      <c r="M392">
        <v>341</v>
      </c>
      <c r="N392">
        <v>19</v>
      </c>
      <c r="O392" t="str">
        <f t="shared" si="12"/>
        <v>101-200</v>
      </c>
      <c r="P392" t="str">
        <f>IF(airbnb_data3[[#This Row],[price]]&lt;=100,"Budget",
IF(airbnb_data3[[#This Row],[price]]&lt;=200,"Mid-range",
IF(airbnb_data3[[#This Row],[price]]&lt;=300,"Premium","Luxury")))</f>
        <v>Mid-range</v>
      </c>
      <c r="Q392" t="str">
        <f>IF(airbnb_data3[[#This Row],[availability_365]]&lt;=120,"Low Availability",IF(airbnb_data3[[#This Row],[availability_365]]&lt;=240,"Medium Availability","High Availability"))</f>
        <v>High Availability</v>
      </c>
      <c r="R392" s="6" t="str">
        <f t="shared" si="13"/>
        <v>Medium</v>
      </c>
      <c r="S392" s="6" t="str">
        <f>IF(airbnb_data3[[#This Row],[minimum_nights]]&lt;=3,"Short Stay",IF(airbnb_data3[[#This Row],[minimum_nights]]&lt;=7,"Medium Stay","Long Stay"))</f>
        <v>Short Stay</v>
      </c>
    </row>
    <row r="393" spans="1:19" x14ac:dyDescent="0.35">
      <c r="A393" t="s">
        <v>608</v>
      </c>
      <c r="B393" t="s">
        <v>122</v>
      </c>
      <c r="C393" t="s">
        <v>47</v>
      </c>
      <c r="D393">
        <v>42.662719138095298</v>
      </c>
      <c r="E393">
        <v>-73.787792381253894</v>
      </c>
      <c r="F393" t="s">
        <v>31</v>
      </c>
      <c r="G393">
        <v>72</v>
      </c>
      <c r="H393">
        <v>28</v>
      </c>
      <c r="I393">
        <v>0</v>
      </c>
      <c r="K393">
        <v>0</v>
      </c>
      <c r="L393">
        <v>21</v>
      </c>
      <c r="M393">
        <v>320</v>
      </c>
      <c r="N393">
        <v>0</v>
      </c>
      <c r="O393" t="str">
        <f t="shared" si="12"/>
        <v>0-100</v>
      </c>
      <c r="P393" t="str">
        <f>IF(airbnb_data3[[#This Row],[price]]&lt;=100,"Budget",
IF(airbnb_data3[[#This Row],[price]]&lt;=200,"Mid-range",
IF(airbnb_data3[[#This Row],[price]]&lt;=300,"Premium","Luxury")))</f>
        <v>Budget</v>
      </c>
      <c r="Q393" t="str">
        <f>IF(airbnb_data3[[#This Row],[availability_365]]&lt;=120,"Low Availability",IF(airbnb_data3[[#This Row],[availability_365]]&lt;=240,"Medium Availability","High Availability"))</f>
        <v>High Availability</v>
      </c>
      <c r="R393" s="6" t="str">
        <f t="shared" si="13"/>
        <v>Medium</v>
      </c>
      <c r="S393" s="6" t="str">
        <f>IF(airbnb_data3[[#This Row],[minimum_nights]]&lt;=3,"Short Stay",IF(airbnb_data3[[#This Row],[minimum_nights]]&lt;=7,"Medium Stay","Long Stay"))</f>
        <v>Long Stay</v>
      </c>
    </row>
    <row r="394" spans="1:19" x14ac:dyDescent="0.35">
      <c r="A394" t="s">
        <v>611</v>
      </c>
      <c r="B394" t="s">
        <v>504</v>
      </c>
      <c r="C394" t="s">
        <v>40</v>
      </c>
      <c r="D394">
        <v>42.679969999999997</v>
      </c>
      <c r="E394">
        <v>-73.783869999999993</v>
      </c>
      <c r="F394" t="s">
        <v>22</v>
      </c>
      <c r="G394">
        <v>95</v>
      </c>
      <c r="H394">
        <v>1</v>
      </c>
      <c r="I394">
        <v>4</v>
      </c>
      <c r="J394" s="1">
        <v>46159</v>
      </c>
      <c r="K394">
        <v>0.57999999999999996</v>
      </c>
      <c r="L394">
        <v>29</v>
      </c>
      <c r="M394">
        <v>365</v>
      </c>
      <c r="N394">
        <v>4</v>
      </c>
      <c r="O394" t="str">
        <f t="shared" si="12"/>
        <v>0-100</v>
      </c>
      <c r="P394" t="str">
        <f>IF(airbnb_data3[[#This Row],[price]]&lt;=100,"Budget",
IF(airbnb_data3[[#This Row],[price]]&lt;=200,"Mid-range",
IF(airbnb_data3[[#This Row],[price]]&lt;=300,"Premium","Luxury")))</f>
        <v>Budget</v>
      </c>
      <c r="Q394" t="str">
        <f>IF(airbnb_data3[[#This Row],[availability_365]]&lt;=120,"Low Availability",IF(airbnb_data3[[#This Row],[availability_365]]&lt;=240,"Medium Availability","High Availability"))</f>
        <v>High Availability</v>
      </c>
      <c r="R394" s="6" t="str">
        <f t="shared" si="13"/>
        <v>Medium</v>
      </c>
      <c r="S394" s="6" t="str">
        <f>IF(airbnb_data3[[#This Row],[minimum_nights]]&lt;=3,"Short Stay",IF(airbnb_data3[[#This Row],[minimum_nights]]&lt;=7,"Medium Stay","Long Stay"))</f>
        <v>Short Stay</v>
      </c>
    </row>
    <row r="395" spans="1:19" x14ac:dyDescent="0.35">
      <c r="A395" t="s">
        <v>612</v>
      </c>
      <c r="B395" t="s">
        <v>613</v>
      </c>
      <c r="C395" t="s">
        <v>25</v>
      </c>
      <c r="D395">
        <v>42.650826799999997</v>
      </c>
      <c r="E395">
        <v>-73.766840199999905</v>
      </c>
      <c r="F395" t="s">
        <v>22</v>
      </c>
      <c r="G395">
        <v>177</v>
      </c>
      <c r="H395">
        <v>1</v>
      </c>
      <c r="I395">
        <v>3</v>
      </c>
      <c r="J395" s="1">
        <v>46016</v>
      </c>
      <c r="K395">
        <v>0.44</v>
      </c>
      <c r="L395">
        <v>1</v>
      </c>
      <c r="M395">
        <v>46</v>
      </c>
      <c r="N395">
        <v>3</v>
      </c>
      <c r="O395" t="str">
        <f t="shared" si="12"/>
        <v>101-200</v>
      </c>
      <c r="P395" t="str">
        <f>IF(airbnb_data3[[#This Row],[price]]&lt;=100,"Budget",
IF(airbnb_data3[[#This Row],[price]]&lt;=200,"Mid-range",
IF(airbnb_data3[[#This Row],[price]]&lt;=300,"Premium","Luxury")))</f>
        <v>Mid-range</v>
      </c>
      <c r="Q395" t="str">
        <f>IF(airbnb_data3[[#This Row],[availability_365]]&lt;=120,"Low Availability",IF(airbnb_data3[[#This Row],[availability_365]]&lt;=240,"Medium Availability","High Availability"))</f>
        <v>Low Availability</v>
      </c>
      <c r="R395" s="6" t="str">
        <f t="shared" si="13"/>
        <v>Medium</v>
      </c>
      <c r="S395" s="6" t="str">
        <f>IF(airbnb_data3[[#This Row],[minimum_nights]]&lt;=3,"Short Stay",IF(airbnb_data3[[#This Row],[minimum_nights]]&lt;=7,"Medium Stay","Long Stay"))</f>
        <v>Short Stay</v>
      </c>
    </row>
    <row r="396" spans="1:19" x14ac:dyDescent="0.35">
      <c r="A396" t="s">
        <v>614</v>
      </c>
      <c r="B396" t="s">
        <v>33</v>
      </c>
      <c r="C396" t="s">
        <v>51</v>
      </c>
      <c r="D396">
        <v>42.656440000000003</v>
      </c>
      <c r="E396">
        <v>-73.78689</v>
      </c>
      <c r="F396" t="s">
        <v>22</v>
      </c>
      <c r="G396">
        <v>159</v>
      </c>
      <c r="H396">
        <v>14</v>
      </c>
      <c r="I396">
        <v>1</v>
      </c>
      <c r="J396" s="1">
        <v>46122</v>
      </c>
      <c r="K396">
        <v>0.44</v>
      </c>
      <c r="L396">
        <v>11</v>
      </c>
      <c r="M396">
        <v>357</v>
      </c>
      <c r="N396">
        <v>1</v>
      </c>
      <c r="O396" t="str">
        <f t="shared" si="12"/>
        <v>101-200</v>
      </c>
      <c r="P396" t="str">
        <f>IF(airbnb_data3[[#This Row],[price]]&lt;=100,"Budget",
IF(airbnb_data3[[#This Row],[price]]&lt;=200,"Mid-range",
IF(airbnb_data3[[#This Row],[price]]&lt;=300,"Premium","Luxury")))</f>
        <v>Mid-range</v>
      </c>
      <c r="Q396" t="str">
        <f>IF(airbnb_data3[[#This Row],[availability_365]]&lt;=120,"Low Availability",IF(airbnb_data3[[#This Row],[availability_365]]&lt;=240,"Medium Availability","High Availability"))</f>
        <v>High Availability</v>
      </c>
      <c r="R396" s="6" t="str">
        <f t="shared" si="13"/>
        <v>Medium</v>
      </c>
      <c r="S396" s="6" t="str">
        <f>IF(airbnb_data3[[#This Row],[minimum_nights]]&lt;=3,"Short Stay",IF(airbnb_data3[[#This Row],[minimum_nights]]&lt;=7,"Medium Stay","Long Stay"))</f>
        <v>Long Stay</v>
      </c>
    </row>
    <row r="397" spans="1:19" x14ac:dyDescent="0.35">
      <c r="A397" t="s">
        <v>615</v>
      </c>
      <c r="B397" t="s">
        <v>590</v>
      </c>
      <c r="C397" t="s">
        <v>25</v>
      </c>
      <c r="D397">
        <v>42.653880296695696</v>
      </c>
      <c r="E397">
        <v>-73.767976498557104</v>
      </c>
      <c r="F397" t="s">
        <v>22</v>
      </c>
      <c r="G397">
        <v>149</v>
      </c>
      <c r="H397">
        <v>2</v>
      </c>
      <c r="I397">
        <v>4</v>
      </c>
      <c r="J397" s="1">
        <v>46079</v>
      </c>
      <c r="K397">
        <v>0.86</v>
      </c>
      <c r="L397">
        <v>2</v>
      </c>
      <c r="M397">
        <v>288</v>
      </c>
      <c r="N397">
        <v>4</v>
      </c>
      <c r="O397" t="str">
        <f t="shared" si="12"/>
        <v>101-200</v>
      </c>
      <c r="P397" t="str">
        <f>IF(airbnb_data3[[#This Row],[price]]&lt;=100,"Budget",
IF(airbnb_data3[[#This Row],[price]]&lt;=200,"Mid-range",
IF(airbnb_data3[[#This Row],[price]]&lt;=300,"Premium","Luxury")))</f>
        <v>Mid-range</v>
      </c>
      <c r="Q397" t="str">
        <f>IF(airbnb_data3[[#This Row],[availability_365]]&lt;=120,"Low Availability",IF(airbnb_data3[[#This Row],[availability_365]]&lt;=240,"Medium Availability","High Availability"))</f>
        <v>High Availability</v>
      </c>
      <c r="R397" s="6" t="str">
        <f t="shared" si="13"/>
        <v>Medium</v>
      </c>
      <c r="S397" s="6" t="str">
        <f>IF(airbnb_data3[[#This Row],[minimum_nights]]&lt;=3,"Short Stay",IF(airbnb_data3[[#This Row],[minimum_nights]]&lt;=7,"Medium Stay","Long Stay"))</f>
        <v>Short Stay</v>
      </c>
    </row>
    <row r="398" spans="1:19" x14ac:dyDescent="0.35">
      <c r="A398" t="s">
        <v>616</v>
      </c>
      <c r="B398" t="s">
        <v>504</v>
      </c>
      <c r="C398" t="s">
        <v>40</v>
      </c>
      <c r="D398">
        <v>42.681370000000001</v>
      </c>
      <c r="E398">
        <v>-73.785129999999995</v>
      </c>
      <c r="F398" t="s">
        <v>22</v>
      </c>
      <c r="G398">
        <v>85</v>
      </c>
      <c r="H398">
        <v>1</v>
      </c>
      <c r="I398">
        <v>14</v>
      </c>
      <c r="J398" s="1">
        <v>46174</v>
      </c>
      <c r="K398">
        <v>2.88</v>
      </c>
      <c r="L398">
        <v>29</v>
      </c>
      <c r="M398">
        <v>362</v>
      </c>
      <c r="N398">
        <v>14</v>
      </c>
      <c r="O398" t="str">
        <f t="shared" si="12"/>
        <v>0-100</v>
      </c>
      <c r="P398" t="str">
        <f>IF(airbnb_data3[[#This Row],[price]]&lt;=100,"Budget",
IF(airbnb_data3[[#This Row],[price]]&lt;=200,"Mid-range",
IF(airbnb_data3[[#This Row],[price]]&lt;=300,"Premium","Luxury")))</f>
        <v>Budget</v>
      </c>
      <c r="Q398" t="str">
        <f>IF(airbnb_data3[[#This Row],[availability_365]]&lt;=120,"Low Availability",IF(airbnb_data3[[#This Row],[availability_365]]&lt;=240,"Medium Availability","High Availability"))</f>
        <v>High Availability</v>
      </c>
      <c r="R398" s="6" t="str">
        <f t="shared" si="13"/>
        <v>Medium</v>
      </c>
      <c r="S398" s="6" t="str">
        <f>IF(airbnb_data3[[#This Row],[minimum_nights]]&lt;=3,"Short Stay",IF(airbnb_data3[[#This Row],[minimum_nights]]&lt;=7,"Medium Stay","Long Stay"))</f>
        <v>Short Stay</v>
      </c>
    </row>
    <row r="399" spans="1:19" x14ac:dyDescent="0.35">
      <c r="A399" t="s">
        <v>617</v>
      </c>
      <c r="B399" t="s">
        <v>359</v>
      </c>
      <c r="C399" t="s">
        <v>25</v>
      </c>
      <c r="D399">
        <v>42.651955805017202</v>
      </c>
      <c r="E399">
        <v>-73.766967316906005</v>
      </c>
      <c r="F399" t="s">
        <v>22</v>
      </c>
      <c r="G399">
        <v>126</v>
      </c>
      <c r="H399">
        <v>1</v>
      </c>
      <c r="I399">
        <v>1</v>
      </c>
      <c r="J399" s="1">
        <v>46166</v>
      </c>
      <c r="K399">
        <v>1</v>
      </c>
      <c r="L399">
        <v>8</v>
      </c>
      <c r="M399">
        <v>26</v>
      </c>
      <c r="N399">
        <v>1</v>
      </c>
      <c r="O399" t="str">
        <f t="shared" si="12"/>
        <v>101-200</v>
      </c>
      <c r="P399" t="str">
        <f>IF(airbnb_data3[[#This Row],[price]]&lt;=100,"Budget",
IF(airbnb_data3[[#This Row],[price]]&lt;=200,"Mid-range",
IF(airbnb_data3[[#This Row],[price]]&lt;=300,"Premium","Luxury")))</f>
        <v>Mid-range</v>
      </c>
      <c r="Q399" t="str">
        <f>IF(airbnb_data3[[#This Row],[availability_365]]&lt;=120,"Low Availability",IF(airbnb_data3[[#This Row],[availability_365]]&lt;=240,"Medium Availability","High Availability"))</f>
        <v>Low Availability</v>
      </c>
      <c r="R399" s="6" t="str">
        <f t="shared" si="13"/>
        <v>Medium</v>
      </c>
      <c r="S399" s="6" t="str">
        <f>IF(airbnb_data3[[#This Row],[minimum_nights]]&lt;=3,"Short Stay",IF(airbnb_data3[[#This Row],[minimum_nights]]&lt;=7,"Medium Stay","Long Stay"))</f>
        <v>Short Stay</v>
      </c>
    </row>
    <row r="400" spans="1:19" x14ac:dyDescent="0.35">
      <c r="A400" t="s">
        <v>618</v>
      </c>
      <c r="B400" t="s">
        <v>430</v>
      </c>
      <c r="C400" t="s">
        <v>51</v>
      </c>
      <c r="D400">
        <v>42.655240209912002</v>
      </c>
      <c r="E400">
        <v>-73.798110745847197</v>
      </c>
      <c r="F400" t="s">
        <v>31</v>
      </c>
      <c r="G400">
        <v>77</v>
      </c>
      <c r="H400">
        <v>1</v>
      </c>
      <c r="I400">
        <v>3</v>
      </c>
      <c r="J400" s="1">
        <v>46069</v>
      </c>
      <c r="K400">
        <v>0.49</v>
      </c>
      <c r="L400">
        <v>3</v>
      </c>
      <c r="M400">
        <v>67</v>
      </c>
      <c r="N400">
        <v>3</v>
      </c>
      <c r="O400" t="str">
        <f t="shared" si="12"/>
        <v>0-100</v>
      </c>
      <c r="P400" t="str">
        <f>IF(airbnb_data3[[#This Row],[price]]&lt;=100,"Budget",
IF(airbnb_data3[[#This Row],[price]]&lt;=200,"Mid-range",
IF(airbnb_data3[[#This Row],[price]]&lt;=300,"Premium","Luxury")))</f>
        <v>Budget</v>
      </c>
      <c r="Q400" t="str">
        <f>IF(airbnb_data3[[#This Row],[availability_365]]&lt;=120,"Low Availability",IF(airbnb_data3[[#This Row],[availability_365]]&lt;=240,"Medium Availability","High Availability"))</f>
        <v>Low Availability</v>
      </c>
      <c r="R400" s="6" t="str">
        <f t="shared" si="13"/>
        <v>Medium</v>
      </c>
      <c r="S400" s="6" t="str">
        <f>IF(airbnb_data3[[#This Row],[minimum_nights]]&lt;=3,"Short Stay",IF(airbnb_data3[[#This Row],[minimum_nights]]&lt;=7,"Medium Stay","Long Stay"))</f>
        <v>Short Stay</v>
      </c>
    </row>
    <row r="401" spans="1:19" x14ac:dyDescent="0.35">
      <c r="A401" t="s">
        <v>622</v>
      </c>
      <c r="B401" t="s">
        <v>430</v>
      </c>
      <c r="C401" t="s">
        <v>51</v>
      </c>
      <c r="D401">
        <v>42.653190000000002</v>
      </c>
      <c r="E401">
        <v>-73.783869999999993</v>
      </c>
      <c r="F401" t="s">
        <v>31</v>
      </c>
      <c r="G401">
        <v>63</v>
      </c>
      <c r="H401">
        <v>7</v>
      </c>
      <c r="I401">
        <v>4</v>
      </c>
      <c r="J401" s="1">
        <v>46181</v>
      </c>
      <c r="K401">
        <v>0.83</v>
      </c>
      <c r="L401">
        <v>3</v>
      </c>
      <c r="M401">
        <v>189</v>
      </c>
      <c r="N401">
        <v>4</v>
      </c>
      <c r="O401" t="str">
        <f t="shared" si="12"/>
        <v>0-100</v>
      </c>
      <c r="P401" t="str">
        <f>IF(airbnb_data3[[#This Row],[price]]&lt;=100,"Budget",
IF(airbnb_data3[[#This Row],[price]]&lt;=200,"Mid-range",
IF(airbnb_data3[[#This Row],[price]]&lt;=300,"Premium","Luxury")))</f>
        <v>Budget</v>
      </c>
      <c r="Q401" t="str">
        <f>IF(airbnb_data3[[#This Row],[availability_365]]&lt;=120,"Low Availability",IF(airbnb_data3[[#This Row],[availability_365]]&lt;=240,"Medium Availability","High Availability"))</f>
        <v>Medium Availability</v>
      </c>
      <c r="R401" s="6" t="str">
        <f t="shared" si="13"/>
        <v>Medium</v>
      </c>
      <c r="S401" s="6" t="str">
        <f>IF(airbnb_data3[[#This Row],[minimum_nights]]&lt;=3,"Short Stay",IF(airbnb_data3[[#This Row],[minimum_nights]]&lt;=7,"Medium Stay","Long Stay"))</f>
        <v>Medium Stay</v>
      </c>
    </row>
    <row r="402" spans="1:19" x14ac:dyDescent="0.35">
      <c r="A402" t="s">
        <v>623</v>
      </c>
      <c r="B402" t="s">
        <v>504</v>
      </c>
      <c r="C402" t="s">
        <v>40</v>
      </c>
      <c r="D402">
        <v>42.681460000000001</v>
      </c>
      <c r="E402">
        <v>-73.78313</v>
      </c>
      <c r="F402" t="s">
        <v>22</v>
      </c>
      <c r="G402">
        <v>99</v>
      </c>
      <c r="H402">
        <v>1</v>
      </c>
      <c r="I402">
        <v>5</v>
      </c>
      <c r="J402" s="1">
        <v>46168</v>
      </c>
      <c r="K402">
        <v>1.47</v>
      </c>
      <c r="L402">
        <v>29</v>
      </c>
      <c r="M402">
        <v>362</v>
      </c>
      <c r="N402">
        <v>5</v>
      </c>
      <c r="O402" t="str">
        <f t="shared" si="12"/>
        <v>0-100</v>
      </c>
      <c r="P402" t="str">
        <f>IF(airbnb_data3[[#This Row],[price]]&lt;=100,"Budget",
IF(airbnb_data3[[#This Row],[price]]&lt;=200,"Mid-range",
IF(airbnb_data3[[#This Row],[price]]&lt;=300,"Premium","Luxury")))</f>
        <v>Budget</v>
      </c>
      <c r="Q402" t="str">
        <f>IF(airbnb_data3[[#This Row],[availability_365]]&lt;=120,"Low Availability",IF(airbnb_data3[[#This Row],[availability_365]]&lt;=240,"Medium Availability","High Availability"))</f>
        <v>High Availability</v>
      </c>
      <c r="R402" s="6" t="str">
        <f t="shared" si="13"/>
        <v>Medium</v>
      </c>
      <c r="S402" s="6" t="str">
        <f>IF(airbnb_data3[[#This Row],[minimum_nights]]&lt;=3,"Short Stay",IF(airbnb_data3[[#This Row],[minimum_nights]]&lt;=7,"Medium Stay","Long Stay"))</f>
        <v>Short Stay</v>
      </c>
    </row>
    <row r="403" spans="1:19" x14ac:dyDescent="0.35">
      <c r="A403" t="s">
        <v>624</v>
      </c>
      <c r="B403" t="s">
        <v>504</v>
      </c>
      <c r="C403" t="s">
        <v>40</v>
      </c>
      <c r="D403">
        <v>42.680059999999997</v>
      </c>
      <c r="E403">
        <v>-73.783860000000004</v>
      </c>
      <c r="F403" t="s">
        <v>22</v>
      </c>
      <c r="G403">
        <v>91</v>
      </c>
      <c r="H403">
        <v>1</v>
      </c>
      <c r="I403">
        <v>9</v>
      </c>
      <c r="J403" s="1">
        <v>46158</v>
      </c>
      <c r="K403">
        <v>1.8</v>
      </c>
      <c r="L403">
        <v>29</v>
      </c>
      <c r="M403">
        <v>362</v>
      </c>
      <c r="N403">
        <v>9</v>
      </c>
      <c r="O403" t="str">
        <f t="shared" si="12"/>
        <v>0-100</v>
      </c>
      <c r="P403" t="str">
        <f>IF(airbnb_data3[[#This Row],[price]]&lt;=100,"Budget",
IF(airbnb_data3[[#This Row],[price]]&lt;=200,"Mid-range",
IF(airbnb_data3[[#This Row],[price]]&lt;=300,"Premium","Luxury")))</f>
        <v>Budget</v>
      </c>
      <c r="Q403" t="str">
        <f>IF(airbnb_data3[[#This Row],[availability_365]]&lt;=120,"Low Availability",IF(airbnb_data3[[#This Row],[availability_365]]&lt;=240,"Medium Availability","High Availability"))</f>
        <v>High Availability</v>
      </c>
      <c r="R403" s="6" t="str">
        <f t="shared" si="13"/>
        <v>Medium</v>
      </c>
      <c r="S403" s="6" t="str">
        <f>IF(airbnb_data3[[#This Row],[minimum_nights]]&lt;=3,"Short Stay",IF(airbnb_data3[[#This Row],[minimum_nights]]&lt;=7,"Medium Stay","Long Stay"))</f>
        <v>Short Stay</v>
      </c>
    </row>
    <row r="404" spans="1:19" x14ac:dyDescent="0.35">
      <c r="A404" t="s">
        <v>625</v>
      </c>
      <c r="B404" t="s">
        <v>286</v>
      </c>
      <c r="C404" t="s">
        <v>68</v>
      </c>
      <c r="D404">
        <v>42.669580000000003</v>
      </c>
      <c r="E404">
        <v>-73.797219999999996</v>
      </c>
      <c r="F404" t="s">
        <v>22</v>
      </c>
      <c r="G404">
        <v>204</v>
      </c>
      <c r="H404">
        <v>4</v>
      </c>
      <c r="I404">
        <v>1</v>
      </c>
      <c r="J404" s="1">
        <v>46021</v>
      </c>
      <c r="K404">
        <v>0.18</v>
      </c>
      <c r="L404">
        <v>4</v>
      </c>
      <c r="M404">
        <v>329</v>
      </c>
      <c r="N404">
        <v>1</v>
      </c>
      <c r="O404" t="str">
        <f t="shared" si="12"/>
        <v>201-300</v>
      </c>
      <c r="P404" t="str">
        <f>IF(airbnb_data3[[#This Row],[price]]&lt;=100,"Budget",
IF(airbnb_data3[[#This Row],[price]]&lt;=200,"Mid-range",
IF(airbnb_data3[[#This Row],[price]]&lt;=300,"Premium","Luxury")))</f>
        <v>Premium</v>
      </c>
      <c r="Q404" t="str">
        <f>IF(airbnb_data3[[#This Row],[availability_365]]&lt;=120,"Low Availability",IF(airbnb_data3[[#This Row],[availability_365]]&lt;=240,"Medium Availability","High Availability"))</f>
        <v>High Availability</v>
      </c>
      <c r="R404" s="6" t="str">
        <f t="shared" si="13"/>
        <v>Medium</v>
      </c>
      <c r="S404" s="6" t="str">
        <f>IF(airbnb_data3[[#This Row],[minimum_nights]]&lt;=3,"Short Stay",IF(airbnb_data3[[#This Row],[minimum_nights]]&lt;=7,"Medium Stay","Long Stay"))</f>
        <v>Medium Stay</v>
      </c>
    </row>
    <row r="405" spans="1:19" x14ac:dyDescent="0.35">
      <c r="A405" t="s">
        <v>626</v>
      </c>
      <c r="B405" t="s">
        <v>627</v>
      </c>
      <c r="C405" t="s">
        <v>21</v>
      </c>
      <c r="D405">
        <v>42.655030600000003</v>
      </c>
      <c r="E405">
        <v>-73.751729400000002</v>
      </c>
      <c r="F405" t="s">
        <v>22</v>
      </c>
      <c r="G405">
        <v>190</v>
      </c>
      <c r="H405">
        <v>1</v>
      </c>
      <c r="I405">
        <v>14</v>
      </c>
      <c r="J405" s="1">
        <v>46159</v>
      </c>
      <c r="K405">
        <v>3.44</v>
      </c>
      <c r="L405">
        <v>1</v>
      </c>
      <c r="M405">
        <v>11</v>
      </c>
      <c r="N405">
        <v>14</v>
      </c>
      <c r="O405" t="str">
        <f t="shared" si="12"/>
        <v>101-200</v>
      </c>
      <c r="P405" t="str">
        <f>IF(airbnb_data3[[#This Row],[price]]&lt;=100,"Budget",
IF(airbnb_data3[[#This Row],[price]]&lt;=200,"Mid-range",
IF(airbnb_data3[[#This Row],[price]]&lt;=300,"Premium","Luxury")))</f>
        <v>Mid-range</v>
      </c>
      <c r="Q405" t="str">
        <f>IF(airbnb_data3[[#This Row],[availability_365]]&lt;=120,"Low Availability",IF(airbnb_data3[[#This Row],[availability_365]]&lt;=240,"Medium Availability","High Availability"))</f>
        <v>Low Availability</v>
      </c>
      <c r="R405" s="6" t="str">
        <f t="shared" si="13"/>
        <v>Medium</v>
      </c>
      <c r="S405" s="6" t="str">
        <f>IF(airbnb_data3[[#This Row],[minimum_nights]]&lt;=3,"Short Stay",IF(airbnb_data3[[#This Row],[minimum_nights]]&lt;=7,"Medium Stay","Long Stay"))</f>
        <v>Short Stay</v>
      </c>
    </row>
    <row r="406" spans="1:19" x14ac:dyDescent="0.35">
      <c r="A406" t="s">
        <v>628</v>
      </c>
      <c r="B406" t="s">
        <v>629</v>
      </c>
      <c r="C406" t="s">
        <v>84</v>
      </c>
      <c r="D406">
        <v>42.645139999999998</v>
      </c>
      <c r="E406">
        <v>-73.788659999999993</v>
      </c>
      <c r="F406" t="s">
        <v>22</v>
      </c>
      <c r="G406">
        <v>343</v>
      </c>
      <c r="H406">
        <v>1</v>
      </c>
      <c r="I406">
        <v>6</v>
      </c>
      <c r="J406" s="1">
        <v>46188</v>
      </c>
      <c r="K406">
        <v>2.4700000000000002</v>
      </c>
      <c r="L406">
        <v>1</v>
      </c>
      <c r="M406">
        <v>312</v>
      </c>
      <c r="N406">
        <v>6</v>
      </c>
      <c r="O406" t="str">
        <f t="shared" si="12"/>
        <v>301-500</v>
      </c>
      <c r="P406" t="str">
        <f>IF(airbnb_data3[[#This Row],[price]]&lt;=100,"Budget",
IF(airbnb_data3[[#This Row],[price]]&lt;=200,"Mid-range",
IF(airbnb_data3[[#This Row],[price]]&lt;=300,"Premium","Luxury")))</f>
        <v>Luxury</v>
      </c>
      <c r="Q406" t="str">
        <f>IF(airbnb_data3[[#This Row],[availability_365]]&lt;=120,"Low Availability",IF(airbnb_data3[[#This Row],[availability_365]]&lt;=240,"Medium Availability","High Availability"))</f>
        <v>High Availability</v>
      </c>
      <c r="R406" s="6" t="str">
        <f t="shared" si="13"/>
        <v>Medium</v>
      </c>
      <c r="S406" s="6" t="str">
        <f>IF(airbnb_data3[[#This Row],[minimum_nights]]&lt;=3,"Short Stay",IF(airbnb_data3[[#This Row],[minimum_nights]]&lt;=7,"Medium Stay","Long Stay"))</f>
        <v>Short Stay</v>
      </c>
    </row>
    <row r="407" spans="1:19" x14ac:dyDescent="0.35">
      <c r="A407" t="s">
        <v>630</v>
      </c>
      <c r="B407" t="s">
        <v>631</v>
      </c>
      <c r="C407" t="s">
        <v>28</v>
      </c>
      <c r="D407">
        <v>42.645337784122802</v>
      </c>
      <c r="E407">
        <v>-73.760164403704806</v>
      </c>
      <c r="F407" t="s">
        <v>22</v>
      </c>
      <c r="G407">
        <v>115</v>
      </c>
      <c r="H407">
        <v>1</v>
      </c>
      <c r="I407">
        <v>2</v>
      </c>
      <c r="J407" s="1">
        <v>46159</v>
      </c>
      <c r="K407">
        <v>1.87</v>
      </c>
      <c r="L407">
        <v>1</v>
      </c>
      <c r="M407">
        <v>340</v>
      </c>
      <c r="N407">
        <v>2</v>
      </c>
      <c r="O407" t="str">
        <f t="shared" si="12"/>
        <v>101-200</v>
      </c>
      <c r="P407" t="str">
        <f>IF(airbnb_data3[[#This Row],[price]]&lt;=100,"Budget",
IF(airbnb_data3[[#This Row],[price]]&lt;=200,"Mid-range",
IF(airbnb_data3[[#This Row],[price]]&lt;=300,"Premium","Luxury")))</f>
        <v>Mid-range</v>
      </c>
      <c r="Q407" t="str">
        <f>IF(airbnb_data3[[#This Row],[availability_365]]&lt;=120,"Low Availability",IF(airbnb_data3[[#This Row],[availability_365]]&lt;=240,"Medium Availability","High Availability"))</f>
        <v>High Availability</v>
      </c>
      <c r="R407" s="6" t="str">
        <f t="shared" si="13"/>
        <v>Medium</v>
      </c>
      <c r="S407" s="6" t="str">
        <f>IF(airbnb_data3[[#This Row],[minimum_nights]]&lt;=3,"Short Stay",IF(airbnb_data3[[#This Row],[minimum_nights]]&lt;=7,"Medium Stay","Long Stay"))</f>
        <v>Short Stay</v>
      </c>
    </row>
    <row r="408" spans="1:19" x14ac:dyDescent="0.35">
      <c r="A408" t="s">
        <v>632</v>
      </c>
      <c r="B408" t="s">
        <v>132</v>
      </c>
      <c r="C408" t="s">
        <v>64</v>
      </c>
      <c r="D408">
        <v>42.6490130306859</v>
      </c>
      <c r="E408">
        <v>-73.766813916215199</v>
      </c>
      <c r="F408" t="s">
        <v>22</v>
      </c>
      <c r="G408">
        <v>269</v>
      </c>
      <c r="H408">
        <v>1</v>
      </c>
      <c r="I408">
        <v>6</v>
      </c>
      <c r="J408" s="1">
        <v>46159</v>
      </c>
      <c r="K408">
        <v>1.57</v>
      </c>
      <c r="L408">
        <v>16</v>
      </c>
      <c r="M408">
        <v>344</v>
      </c>
      <c r="N408">
        <v>6</v>
      </c>
      <c r="O408" t="str">
        <f t="shared" si="12"/>
        <v>201-300</v>
      </c>
      <c r="P408" t="str">
        <f>IF(airbnb_data3[[#This Row],[price]]&lt;=100,"Budget",
IF(airbnb_data3[[#This Row],[price]]&lt;=200,"Mid-range",
IF(airbnb_data3[[#This Row],[price]]&lt;=300,"Premium","Luxury")))</f>
        <v>Premium</v>
      </c>
      <c r="Q408" t="str">
        <f>IF(airbnb_data3[[#This Row],[availability_365]]&lt;=120,"Low Availability",IF(airbnb_data3[[#This Row],[availability_365]]&lt;=240,"Medium Availability","High Availability"))</f>
        <v>High Availability</v>
      </c>
      <c r="R408" s="6" t="str">
        <f t="shared" si="13"/>
        <v>Medium</v>
      </c>
      <c r="S408" s="6" t="str">
        <f>IF(airbnb_data3[[#This Row],[minimum_nights]]&lt;=3,"Short Stay",IF(airbnb_data3[[#This Row],[minimum_nights]]&lt;=7,"Medium Stay","Long Stay"))</f>
        <v>Short Stay</v>
      </c>
    </row>
    <row r="409" spans="1:19" x14ac:dyDescent="0.35">
      <c r="A409" t="s">
        <v>633</v>
      </c>
      <c r="B409" t="s">
        <v>634</v>
      </c>
      <c r="C409" t="s">
        <v>84</v>
      </c>
      <c r="D409">
        <v>42.651620000000001</v>
      </c>
      <c r="E409">
        <v>-73.810770000000005</v>
      </c>
      <c r="F409" t="s">
        <v>22</v>
      </c>
      <c r="G409">
        <v>209</v>
      </c>
      <c r="H409">
        <v>2</v>
      </c>
      <c r="I409">
        <v>5</v>
      </c>
      <c r="J409" s="1">
        <v>46089</v>
      </c>
      <c r="K409">
        <v>1.23</v>
      </c>
      <c r="L409">
        <v>1</v>
      </c>
      <c r="M409">
        <v>166</v>
      </c>
      <c r="N409">
        <v>5</v>
      </c>
      <c r="O409" t="str">
        <f t="shared" si="12"/>
        <v>201-300</v>
      </c>
      <c r="P409" t="str">
        <f>IF(airbnb_data3[[#This Row],[price]]&lt;=100,"Budget",
IF(airbnb_data3[[#This Row],[price]]&lt;=200,"Mid-range",
IF(airbnb_data3[[#This Row],[price]]&lt;=300,"Premium","Luxury")))</f>
        <v>Premium</v>
      </c>
      <c r="Q409" t="str">
        <f>IF(airbnb_data3[[#This Row],[availability_365]]&lt;=120,"Low Availability",IF(airbnb_data3[[#This Row],[availability_365]]&lt;=240,"Medium Availability","High Availability"))</f>
        <v>Medium Availability</v>
      </c>
      <c r="R409" s="6" t="str">
        <f t="shared" si="13"/>
        <v>Medium</v>
      </c>
      <c r="S409" s="6" t="str">
        <f>IF(airbnb_data3[[#This Row],[minimum_nights]]&lt;=3,"Short Stay",IF(airbnb_data3[[#This Row],[minimum_nights]]&lt;=7,"Medium Stay","Long Stay"))</f>
        <v>Short Stay</v>
      </c>
    </row>
    <row r="410" spans="1:19" x14ac:dyDescent="0.35">
      <c r="A410" t="s">
        <v>635</v>
      </c>
      <c r="B410" t="s">
        <v>354</v>
      </c>
      <c r="C410" t="s">
        <v>25</v>
      </c>
      <c r="D410">
        <v>42.654620000000001</v>
      </c>
      <c r="E410">
        <v>-73.760270000000006</v>
      </c>
      <c r="F410" t="s">
        <v>22</v>
      </c>
      <c r="G410">
        <v>185</v>
      </c>
      <c r="H410">
        <v>1</v>
      </c>
      <c r="I410">
        <v>11</v>
      </c>
      <c r="J410" s="1">
        <v>46164</v>
      </c>
      <c r="K410">
        <v>2.3199999999999998</v>
      </c>
      <c r="L410">
        <v>5</v>
      </c>
      <c r="M410">
        <v>361</v>
      </c>
      <c r="N410">
        <v>11</v>
      </c>
      <c r="O410" t="str">
        <f t="shared" si="12"/>
        <v>101-200</v>
      </c>
      <c r="P410" t="str">
        <f>IF(airbnb_data3[[#This Row],[price]]&lt;=100,"Budget",
IF(airbnb_data3[[#This Row],[price]]&lt;=200,"Mid-range",
IF(airbnb_data3[[#This Row],[price]]&lt;=300,"Premium","Luxury")))</f>
        <v>Mid-range</v>
      </c>
      <c r="Q410" t="str">
        <f>IF(airbnb_data3[[#This Row],[availability_365]]&lt;=120,"Low Availability",IF(airbnb_data3[[#This Row],[availability_365]]&lt;=240,"Medium Availability","High Availability"))</f>
        <v>High Availability</v>
      </c>
      <c r="R410" s="6" t="str">
        <f t="shared" si="13"/>
        <v>Medium</v>
      </c>
      <c r="S410" s="6" t="str">
        <f>IF(airbnb_data3[[#This Row],[minimum_nights]]&lt;=3,"Short Stay",IF(airbnb_data3[[#This Row],[minimum_nights]]&lt;=7,"Medium Stay","Long Stay"))</f>
        <v>Short Stay</v>
      </c>
    </row>
    <row r="411" spans="1:19" x14ac:dyDescent="0.35">
      <c r="A411" t="s">
        <v>638</v>
      </c>
      <c r="B411" t="s">
        <v>504</v>
      </c>
      <c r="C411" t="s">
        <v>40</v>
      </c>
      <c r="D411">
        <v>42.681690000000003</v>
      </c>
      <c r="E411">
        <v>-73.784670000000006</v>
      </c>
      <c r="F411" t="s">
        <v>22</v>
      </c>
      <c r="G411">
        <v>83</v>
      </c>
      <c r="H411">
        <v>1</v>
      </c>
      <c r="I411">
        <v>1</v>
      </c>
      <c r="J411" s="1">
        <v>46069</v>
      </c>
      <c r="K411">
        <v>0.25</v>
      </c>
      <c r="L411">
        <v>29</v>
      </c>
      <c r="M411">
        <v>365</v>
      </c>
      <c r="N411">
        <v>1</v>
      </c>
      <c r="O411" t="str">
        <f t="shared" si="12"/>
        <v>0-100</v>
      </c>
      <c r="P411" t="str">
        <f>IF(airbnb_data3[[#This Row],[price]]&lt;=100,"Budget",
IF(airbnb_data3[[#This Row],[price]]&lt;=200,"Mid-range",
IF(airbnb_data3[[#This Row],[price]]&lt;=300,"Premium","Luxury")))</f>
        <v>Budget</v>
      </c>
      <c r="Q411" t="str">
        <f>IF(airbnb_data3[[#This Row],[availability_365]]&lt;=120,"Low Availability",IF(airbnb_data3[[#This Row],[availability_365]]&lt;=240,"Medium Availability","High Availability"))</f>
        <v>High Availability</v>
      </c>
      <c r="R411" s="6" t="str">
        <f t="shared" si="13"/>
        <v>Medium</v>
      </c>
      <c r="S411" s="6" t="str">
        <f>IF(airbnb_data3[[#This Row],[minimum_nights]]&lt;=3,"Short Stay",IF(airbnb_data3[[#This Row],[minimum_nights]]&lt;=7,"Medium Stay","Long Stay"))</f>
        <v>Short Stay</v>
      </c>
    </row>
    <row r="412" spans="1:19" x14ac:dyDescent="0.35">
      <c r="A412" t="s">
        <v>639</v>
      </c>
      <c r="B412" t="s">
        <v>504</v>
      </c>
      <c r="C412" t="s">
        <v>40</v>
      </c>
      <c r="D412">
        <v>42.681660000000001</v>
      </c>
      <c r="E412">
        <v>-73.783370000000005</v>
      </c>
      <c r="F412" t="s">
        <v>22</v>
      </c>
      <c r="G412">
        <v>114</v>
      </c>
      <c r="H412">
        <v>1</v>
      </c>
      <c r="I412">
        <v>1</v>
      </c>
      <c r="J412" s="1">
        <v>46137</v>
      </c>
      <c r="K412">
        <v>0.56999999999999995</v>
      </c>
      <c r="L412">
        <v>29</v>
      </c>
      <c r="M412">
        <v>348</v>
      </c>
      <c r="N412">
        <v>1</v>
      </c>
      <c r="O412" t="str">
        <f t="shared" si="12"/>
        <v>101-200</v>
      </c>
      <c r="P412" t="str">
        <f>IF(airbnb_data3[[#This Row],[price]]&lt;=100,"Budget",
IF(airbnb_data3[[#This Row],[price]]&lt;=200,"Mid-range",
IF(airbnb_data3[[#This Row],[price]]&lt;=300,"Premium","Luxury")))</f>
        <v>Mid-range</v>
      </c>
      <c r="Q412" t="str">
        <f>IF(airbnb_data3[[#This Row],[availability_365]]&lt;=120,"Low Availability",IF(airbnb_data3[[#This Row],[availability_365]]&lt;=240,"Medium Availability","High Availability"))</f>
        <v>High Availability</v>
      </c>
      <c r="R412" s="6" t="str">
        <f t="shared" si="13"/>
        <v>Medium</v>
      </c>
      <c r="S412" s="6" t="str">
        <f>IF(airbnb_data3[[#This Row],[minimum_nights]]&lt;=3,"Short Stay",IF(airbnb_data3[[#This Row],[minimum_nights]]&lt;=7,"Medium Stay","Long Stay"))</f>
        <v>Short Stay</v>
      </c>
    </row>
    <row r="413" spans="1:19" x14ac:dyDescent="0.35">
      <c r="A413" t="s">
        <v>640</v>
      </c>
      <c r="B413" t="s">
        <v>504</v>
      </c>
      <c r="C413" t="s">
        <v>40</v>
      </c>
      <c r="D413">
        <v>42.682310000000001</v>
      </c>
      <c r="E413">
        <v>-73.783209999999997</v>
      </c>
      <c r="F413" t="s">
        <v>22</v>
      </c>
      <c r="G413">
        <v>81</v>
      </c>
      <c r="H413">
        <v>1</v>
      </c>
      <c r="I413">
        <v>1</v>
      </c>
      <c r="J413" s="1">
        <v>46118</v>
      </c>
      <c r="K413">
        <v>0.42</v>
      </c>
      <c r="L413">
        <v>29</v>
      </c>
      <c r="M413">
        <v>364</v>
      </c>
      <c r="N413">
        <v>1</v>
      </c>
      <c r="O413" t="str">
        <f t="shared" si="12"/>
        <v>0-100</v>
      </c>
      <c r="P413" t="str">
        <f>IF(airbnb_data3[[#This Row],[price]]&lt;=100,"Budget",
IF(airbnb_data3[[#This Row],[price]]&lt;=200,"Mid-range",
IF(airbnb_data3[[#This Row],[price]]&lt;=300,"Premium","Luxury")))</f>
        <v>Budget</v>
      </c>
      <c r="Q413" t="str">
        <f>IF(airbnb_data3[[#This Row],[availability_365]]&lt;=120,"Low Availability",IF(airbnb_data3[[#This Row],[availability_365]]&lt;=240,"Medium Availability","High Availability"))</f>
        <v>High Availability</v>
      </c>
      <c r="R413" s="6" t="str">
        <f t="shared" si="13"/>
        <v>Medium</v>
      </c>
      <c r="S413" s="6" t="str">
        <f>IF(airbnb_data3[[#This Row],[minimum_nights]]&lt;=3,"Short Stay",IF(airbnb_data3[[#This Row],[minimum_nights]]&lt;=7,"Medium Stay","Long Stay"))</f>
        <v>Short Stay</v>
      </c>
    </row>
    <row r="414" spans="1:19" x14ac:dyDescent="0.35">
      <c r="A414" t="s">
        <v>641</v>
      </c>
      <c r="B414" t="s">
        <v>122</v>
      </c>
      <c r="C414" t="s">
        <v>47</v>
      </c>
      <c r="D414">
        <v>42.662382679230497</v>
      </c>
      <c r="E414">
        <v>-73.786409262788894</v>
      </c>
      <c r="F414" t="s">
        <v>31</v>
      </c>
      <c r="G414">
        <v>72</v>
      </c>
      <c r="H414">
        <v>28</v>
      </c>
      <c r="I414">
        <v>1</v>
      </c>
      <c r="J414" s="1">
        <v>46151</v>
      </c>
      <c r="K414">
        <v>0.77</v>
      </c>
      <c r="L414">
        <v>21</v>
      </c>
      <c r="M414">
        <v>276</v>
      </c>
      <c r="N414">
        <v>1</v>
      </c>
      <c r="O414" t="str">
        <f t="shared" si="12"/>
        <v>0-100</v>
      </c>
      <c r="P414" t="str">
        <f>IF(airbnb_data3[[#This Row],[price]]&lt;=100,"Budget",
IF(airbnb_data3[[#This Row],[price]]&lt;=200,"Mid-range",
IF(airbnb_data3[[#This Row],[price]]&lt;=300,"Premium","Luxury")))</f>
        <v>Budget</v>
      </c>
      <c r="Q414" t="str">
        <f>IF(airbnb_data3[[#This Row],[availability_365]]&lt;=120,"Low Availability",IF(airbnb_data3[[#This Row],[availability_365]]&lt;=240,"Medium Availability","High Availability"))</f>
        <v>High Availability</v>
      </c>
      <c r="R414" s="6" t="str">
        <f t="shared" si="13"/>
        <v>Medium</v>
      </c>
      <c r="S414" s="6" t="str">
        <f>IF(airbnb_data3[[#This Row],[minimum_nights]]&lt;=3,"Short Stay",IF(airbnb_data3[[#This Row],[minimum_nights]]&lt;=7,"Medium Stay","Long Stay"))</f>
        <v>Long Stay</v>
      </c>
    </row>
    <row r="415" spans="1:19" x14ac:dyDescent="0.35">
      <c r="A415" t="s">
        <v>642</v>
      </c>
      <c r="B415" t="s">
        <v>643</v>
      </c>
      <c r="C415" t="s">
        <v>117</v>
      </c>
      <c r="D415">
        <v>42.639190253752197</v>
      </c>
      <c r="E415">
        <v>-73.775329399999904</v>
      </c>
      <c r="F415" t="s">
        <v>22</v>
      </c>
      <c r="G415">
        <v>148</v>
      </c>
      <c r="H415">
        <v>1</v>
      </c>
      <c r="I415">
        <v>12</v>
      </c>
      <c r="J415" s="1">
        <v>46175</v>
      </c>
      <c r="K415">
        <v>3.6</v>
      </c>
      <c r="L415">
        <v>1</v>
      </c>
      <c r="M415">
        <v>119</v>
      </c>
      <c r="N415">
        <v>12</v>
      </c>
      <c r="O415" t="str">
        <f t="shared" si="12"/>
        <v>101-200</v>
      </c>
      <c r="P415" t="str">
        <f>IF(airbnb_data3[[#This Row],[price]]&lt;=100,"Budget",
IF(airbnb_data3[[#This Row],[price]]&lt;=200,"Mid-range",
IF(airbnb_data3[[#This Row],[price]]&lt;=300,"Premium","Luxury")))</f>
        <v>Mid-range</v>
      </c>
      <c r="Q415" t="str">
        <f>IF(airbnb_data3[[#This Row],[availability_365]]&lt;=120,"Low Availability",IF(airbnb_data3[[#This Row],[availability_365]]&lt;=240,"Medium Availability","High Availability"))</f>
        <v>Low Availability</v>
      </c>
      <c r="R415" s="6" t="str">
        <f t="shared" si="13"/>
        <v>Medium</v>
      </c>
      <c r="S415" s="6" t="str">
        <f>IF(airbnb_data3[[#This Row],[minimum_nights]]&lt;=3,"Short Stay",IF(airbnb_data3[[#This Row],[minimum_nights]]&lt;=7,"Medium Stay","Long Stay"))</f>
        <v>Short Stay</v>
      </c>
    </row>
    <row r="416" spans="1:19" x14ac:dyDescent="0.35">
      <c r="A416" t="s">
        <v>644</v>
      </c>
      <c r="B416" t="s">
        <v>24</v>
      </c>
      <c r="C416" t="s">
        <v>25</v>
      </c>
      <c r="D416">
        <v>42.652143698498499</v>
      </c>
      <c r="E416">
        <v>-73.767364318869696</v>
      </c>
      <c r="F416" t="s">
        <v>22</v>
      </c>
      <c r="G416">
        <v>164</v>
      </c>
      <c r="H416">
        <v>1</v>
      </c>
      <c r="I416">
        <v>22</v>
      </c>
      <c r="J416" s="1">
        <v>46180</v>
      </c>
      <c r="K416">
        <v>5.41</v>
      </c>
      <c r="L416">
        <v>7</v>
      </c>
      <c r="M416">
        <v>343</v>
      </c>
      <c r="N416">
        <v>22</v>
      </c>
      <c r="O416" t="str">
        <f t="shared" si="12"/>
        <v>101-200</v>
      </c>
      <c r="P416" t="str">
        <f>IF(airbnb_data3[[#This Row],[price]]&lt;=100,"Budget",
IF(airbnb_data3[[#This Row],[price]]&lt;=200,"Mid-range",
IF(airbnb_data3[[#This Row],[price]]&lt;=300,"Premium","Luxury")))</f>
        <v>Mid-range</v>
      </c>
      <c r="Q416" t="str">
        <f>IF(airbnb_data3[[#This Row],[availability_365]]&lt;=120,"Low Availability",IF(airbnb_data3[[#This Row],[availability_365]]&lt;=240,"Medium Availability","High Availability"))</f>
        <v>High Availability</v>
      </c>
      <c r="R416" s="6" t="str">
        <f t="shared" si="13"/>
        <v>Medium</v>
      </c>
      <c r="S416" s="6" t="str">
        <f>IF(airbnb_data3[[#This Row],[minimum_nights]]&lt;=3,"Short Stay",IF(airbnb_data3[[#This Row],[minimum_nights]]&lt;=7,"Medium Stay","Long Stay"))</f>
        <v>Short Stay</v>
      </c>
    </row>
    <row r="417" spans="1:19" x14ac:dyDescent="0.35">
      <c r="A417" t="s">
        <v>645</v>
      </c>
      <c r="B417" t="s">
        <v>646</v>
      </c>
      <c r="C417" t="s">
        <v>25</v>
      </c>
      <c r="D417">
        <v>42.654580000000003</v>
      </c>
      <c r="E417">
        <v>-73.767750000000007</v>
      </c>
      <c r="F417" t="s">
        <v>31</v>
      </c>
      <c r="G417">
        <v>71</v>
      </c>
      <c r="H417">
        <v>1</v>
      </c>
      <c r="I417">
        <v>5</v>
      </c>
      <c r="J417" s="1">
        <v>46155</v>
      </c>
      <c r="K417">
        <v>1.3</v>
      </c>
      <c r="L417">
        <v>4</v>
      </c>
      <c r="M417">
        <v>339</v>
      </c>
      <c r="N417">
        <v>5</v>
      </c>
      <c r="O417" t="str">
        <f t="shared" si="12"/>
        <v>0-100</v>
      </c>
      <c r="P417" t="str">
        <f>IF(airbnb_data3[[#This Row],[price]]&lt;=100,"Budget",
IF(airbnb_data3[[#This Row],[price]]&lt;=200,"Mid-range",
IF(airbnb_data3[[#This Row],[price]]&lt;=300,"Premium","Luxury")))</f>
        <v>Budget</v>
      </c>
      <c r="Q417" t="str">
        <f>IF(airbnb_data3[[#This Row],[availability_365]]&lt;=120,"Low Availability",IF(airbnb_data3[[#This Row],[availability_365]]&lt;=240,"Medium Availability","High Availability"))</f>
        <v>High Availability</v>
      </c>
      <c r="R417" s="6" t="str">
        <f t="shared" si="13"/>
        <v>Medium</v>
      </c>
      <c r="S417" s="6" t="str">
        <f>IF(airbnb_data3[[#This Row],[minimum_nights]]&lt;=3,"Short Stay",IF(airbnb_data3[[#This Row],[minimum_nights]]&lt;=7,"Medium Stay","Long Stay"))</f>
        <v>Short Stay</v>
      </c>
    </row>
    <row r="418" spans="1:19" x14ac:dyDescent="0.35">
      <c r="A418" t="s">
        <v>647</v>
      </c>
      <c r="B418" t="s">
        <v>122</v>
      </c>
      <c r="C418" t="s">
        <v>47</v>
      </c>
      <c r="D418">
        <v>42.661133141062699</v>
      </c>
      <c r="E418">
        <v>-73.787341723671503</v>
      </c>
      <c r="F418" t="s">
        <v>31</v>
      </c>
      <c r="G418">
        <v>77</v>
      </c>
      <c r="H418">
        <v>21</v>
      </c>
      <c r="I418">
        <v>0</v>
      </c>
      <c r="K418">
        <v>0</v>
      </c>
      <c r="L418">
        <v>21</v>
      </c>
      <c r="M418">
        <v>319</v>
      </c>
      <c r="N418">
        <v>0</v>
      </c>
      <c r="O418" t="str">
        <f t="shared" si="12"/>
        <v>0-100</v>
      </c>
      <c r="P418" t="str">
        <f>IF(airbnb_data3[[#This Row],[price]]&lt;=100,"Budget",
IF(airbnb_data3[[#This Row],[price]]&lt;=200,"Mid-range",
IF(airbnb_data3[[#This Row],[price]]&lt;=300,"Premium","Luxury")))</f>
        <v>Budget</v>
      </c>
      <c r="Q418" t="str">
        <f>IF(airbnb_data3[[#This Row],[availability_365]]&lt;=120,"Low Availability",IF(airbnb_data3[[#This Row],[availability_365]]&lt;=240,"Medium Availability","High Availability"))</f>
        <v>High Availability</v>
      </c>
      <c r="R418" s="6" t="str">
        <f t="shared" si="13"/>
        <v>Medium</v>
      </c>
      <c r="S418" s="6" t="str">
        <f>IF(airbnb_data3[[#This Row],[minimum_nights]]&lt;=3,"Short Stay",IF(airbnb_data3[[#This Row],[minimum_nights]]&lt;=7,"Medium Stay","Long Stay"))</f>
        <v>Long Stay</v>
      </c>
    </row>
    <row r="419" spans="1:19" x14ac:dyDescent="0.35">
      <c r="A419" t="s">
        <v>648</v>
      </c>
      <c r="B419" t="s">
        <v>646</v>
      </c>
      <c r="C419" t="s">
        <v>25</v>
      </c>
      <c r="D419">
        <v>42.652981173089501</v>
      </c>
      <c r="E419">
        <v>-73.765667492880993</v>
      </c>
      <c r="F419" t="s">
        <v>22</v>
      </c>
      <c r="G419">
        <v>226</v>
      </c>
      <c r="H419">
        <v>1</v>
      </c>
      <c r="I419">
        <v>10</v>
      </c>
      <c r="J419" s="1">
        <v>46180</v>
      </c>
      <c r="K419">
        <v>3.75</v>
      </c>
      <c r="L419">
        <v>4</v>
      </c>
      <c r="M419">
        <v>334</v>
      </c>
      <c r="N419">
        <v>10</v>
      </c>
      <c r="O419" t="str">
        <f t="shared" si="12"/>
        <v>201-300</v>
      </c>
      <c r="P419" t="str">
        <f>IF(airbnb_data3[[#This Row],[price]]&lt;=100,"Budget",
IF(airbnb_data3[[#This Row],[price]]&lt;=200,"Mid-range",
IF(airbnb_data3[[#This Row],[price]]&lt;=300,"Premium","Luxury")))</f>
        <v>Premium</v>
      </c>
      <c r="Q419" t="str">
        <f>IF(airbnb_data3[[#This Row],[availability_365]]&lt;=120,"Low Availability",IF(airbnb_data3[[#This Row],[availability_365]]&lt;=240,"Medium Availability","High Availability"))</f>
        <v>High Availability</v>
      </c>
      <c r="R419" s="6" t="str">
        <f t="shared" si="13"/>
        <v>Medium</v>
      </c>
      <c r="S419" s="6" t="str">
        <f>IF(airbnb_data3[[#This Row],[minimum_nights]]&lt;=3,"Short Stay",IF(airbnb_data3[[#This Row],[minimum_nights]]&lt;=7,"Medium Stay","Long Stay"))</f>
        <v>Short Stay</v>
      </c>
    </row>
    <row r="420" spans="1:19" x14ac:dyDescent="0.35">
      <c r="A420" t="s">
        <v>649</v>
      </c>
      <c r="B420" t="s">
        <v>176</v>
      </c>
      <c r="C420" t="s">
        <v>34</v>
      </c>
      <c r="D420">
        <v>42.658644799999998</v>
      </c>
      <c r="E420">
        <v>-73.802200399999904</v>
      </c>
      <c r="F420" t="s">
        <v>22</v>
      </c>
      <c r="G420">
        <v>288</v>
      </c>
      <c r="H420">
        <v>1</v>
      </c>
      <c r="I420">
        <v>9</v>
      </c>
      <c r="J420" s="1">
        <v>46186</v>
      </c>
      <c r="K420">
        <v>2.33</v>
      </c>
      <c r="L420">
        <v>4</v>
      </c>
      <c r="M420">
        <v>356</v>
      </c>
      <c r="N420">
        <v>9</v>
      </c>
      <c r="O420" t="str">
        <f t="shared" si="12"/>
        <v>201-300</v>
      </c>
      <c r="P420" t="str">
        <f>IF(airbnb_data3[[#This Row],[price]]&lt;=100,"Budget",
IF(airbnb_data3[[#This Row],[price]]&lt;=200,"Mid-range",
IF(airbnb_data3[[#This Row],[price]]&lt;=300,"Premium","Luxury")))</f>
        <v>Premium</v>
      </c>
      <c r="Q420" t="str">
        <f>IF(airbnb_data3[[#This Row],[availability_365]]&lt;=120,"Low Availability",IF(airbnb_data3[[#This Row],[availability_365]]&lt;=240,"Medium Availability","High Availability"))</f>
        <v>High Availability</v>
      </c>
      <c r="R420" s="6" t="str">
        <f t="shared" si="13"/>
        <v>Medium</v>
      </c>
      <c r="S420" s="6" t="str">
        <f>IF(airbnb_data3[[#This Row],[minimum_nights]]&lt;=3,"Short Stay",IF(airbnb_data3[[#This Row],[minimum_nights]]&lt;=7,"Medium Stay","Long Stay"))</f>
        <v>Short Stay</v>
      </c>
    </row>
    <row r="421" spans="1:19" x14ac:dyDescent="0.35">
      <c r="A421" t="s">
        <v>645</v>
      </c>
      <c r="B421" t="s">
        <v>646</v>
      </c>
      <c r="C421" t="s">
        <v>25</v>
      </c>
      <c r="D421">
        <v>42.653889999999997</v>
      </c>
      <c r="E421">
        <v>-73.766159999999999</v>
      </c>
      <c r="F421" t="s">
        <v>31</v>
      </c>
      <c r="G421">
        <v>71</v>
      </c>
      <c r="H421">
        <v>1</v>
      </c>
      <c r="I421">
        <v>2</v>
      </c>
      <c r="J421" s="1">
        <v>46102</v>
      </c>
      <c r="K421">
        <v>0.64</v>
      </c>
      <c r="L421">
        <v>4</v>
      </c>
      <c r="M421">
        <v>335</v>
      </c>
      <c r="N421">
        <v>2</v>
      </c>
      <c r="O421" t="str">
        <f t="shared" si="12"/>
        <v>0-100</v>
      </c>
      <c r="P421" t="str">
        <f>IF(airbnb_data3[[#This Row],[price]]&lt;=100,"Budget",
IF(airbnb_data3[[#This Row],[price]]&lt;=200,"Mid-range",
IF(airbnb_data3[[#This Row],[price]]&lt;=300,"Premium","Luxury")))</f>
        <v>Budget</v>
      </c>
      <c r="Q421" t="str">
        <f>IF(airbnb_data3[[#This Row],[availability_365]]&lt;=120,"Low Availability",IF(airbnb_data3[[#This Row],[availability_365]]&lt;=240,"Medium Availability","High Availability"))</f>
        <v>High Availability</v>
      </c>
      <c r="R421" s="6" t="str">
        <f t="shared" si="13"/>
        <v>Medium</v>
      </c>
      <c r="S421" s="6" t="str">
        <f>IF(airbnb_data3[[#This Row],[minimum_nights]]&lt;=3,"Short Stay",IF(airbnb_data3[[#This Row],[minimum_nights]]&lt;=7,"Medium Stay","Long Stay"))</f>
        <v>Short Stay</v>
      </c>
    </row>
    <row r="422" spans="1:19" x14ac:dyDescent="0.35">
      <c r="A422" t="s">
        <v>650</v>
      </c>
      <c r="B422" t="s">
        <v>646</v>
      </c>
      <c r="C422" t="s">
        <v>25</v>
      </c>
      <c r="D422">
        <v>42.653954187945203</v>
      </c>
      <c r="E422">
        <v>-73.766041518987805</v>
      </c>
      <c r="F422" t="s">
        <v>31</v>
      </c>
      <c r="G422">
        <v>71</v>
      </c>
      <c r="H422">
        <v>1</v>
      </c>
      <c r="I422">
        <v>5</v>
      </c>
      <c r="J422" s="1">
        <v>46128</v>
      </c>
      <c r="K422">
        <v>1.46</v>
      </c>
      <c r="L422">
        <v>4</v>
      </c>
      <c r="M422">
        <v>341</v>
      </c>
      <c r="N422">
        <v>5</v>
      </c>
      <c r="O422" t="str">
        <f t="shared" si="12"/>
        <v>0-100</v>
      </c>
      <c r="P422" t="str">
        <f>IF(airbnb_data3[[#This Row],[price]]&lt;=100,"Budget",
IF(airbnb_data3[[#This Row],[price]]&lt;=200,"Mid-range",
IF(airbnb_data3[[#This Row],[price]]&lt;=300,"Premium","Luxury")))</f>
        <v>Budget</v>
      </c>
      <c r="Q422" t="str">
        <f>IF(airbnb_data3[[#This Row],[availability_365]]&lt;=120,"Low Availability",IF(airbnb_data3[[#This Row],[availability_365]]&lt;=240,"Medium Availability","High Availability"))</f>
        <v>High Availability</v>
      </c>
      <c r="R422" s="6" t="str">
        <f t="shared" si="13"/>
        <v>Medium</v>
      </c>
      <c r="S422" s="6" t="str">
        <f>IF(airbnb_data3[[#This Row],[minimum_nights]]&lt;=3,"Short Stay",IF(airbnb_data3[[#This Row],[minimum_nights]]&lt;=7,"Medium Stay","Long Stay"))</f>
        <v>Short Stay</v>
      </c>
    </row>
    <row r="423" spans="1:19" x14ac:dyDescent="0.35">
      <c r="A423" t="s">
        <v>651</v>
      </c>
      <c r="B423" t="s">
        <v>269</v>
      </c>
      <c r="C423" t="s">
        <v>64</v>
      </c>
      <c r="D423">
        <v>42.647449999999999</v>
      </c>
      <c r="E423">
        <v>-73.769679999999994</v>
      </c>
      <c r="F423" t="s">
        <v>22</v>
      </c>
      <c r="G423">
        <v>320</v>
      </c>
      <c r="H423">
        <v>1</v>
      </c>
      <c r="I423">
        <v>2</v>
      </c>
      <c r="J423" s="1">
        <v>46154</v>
      </c>
      <c r="K423">
        <v>0.64</v>
      </c>
      <c r="L423">
        <v>2</v>
      </c>
      <c r="M423">
        <v>353</v>
      </c>
      <c r="N423">
        <v>2</v>
      </c>
      <c r="O423" t="str">
        <f t="shared" si="12"/>
        <v>301-500</v>
      </c>
      <c r="P423" t="str">
        <f>IF(airbnb_data3[[#This Row],[price]]&lt;=100,"Budget",
IF(airbnb_data3[[#This Row],[price]]&lt;=200,"Mid-range",
IF(airbnb_data3[[#This Row],[price]]&lt;=300,"Premium","Luxury")))</f>
        <v>Luxury</v>
      </c>
      <c r="Q423" t="str">
        <f>IF(airbnb_data3[[#This Row],[availability_365]]&lt;=120,"Low Availability",IF(airbnb_data3[[#This Row],[availability_365]]&lt;=240,"Medium Availability","High Availability"))</f>
        <v>High Availability</v>
      </c>
      <c r="R423" s="6" t="str">
        <f t="shared" si="13"/>
        <v>Medium</v>
      </c>
      <c r="S423" s="6" t="str">
        <f>IF(airbnb_data3[[#This Row],[minimum_nights]]&lt;=3,"Short Stay",IF(airbnb_data3[[#This Row],[minimum_nights]]&lt;=7,"Medium Stay","Long Stay"))</f>
        <v>Short Stay</v>
      </c>
    </row>
    <row r="424" spans="1:19" x14ac:dyDescent="0.35">
      <c r="A424" t="s">
        <v>652</v>
      </c>
      <c r="B424" t="s">
        <v>544</v>
      </c>
      <c r="C424" t="s">
        <v>68</v>
      </c>
      <c r="D424">
        <v>42.6692387335817</v>
      </c>
      <c r="E424">
        <v>-73.797972192180694</v>
      </c>
      <c r="F424" t="s">
        <v>22</v>
      </c>
      <c r="G424">
        <v>158</v>
      </c>
      <c r="H424">
        <v>5</v>
      </c>
      <c r="I424">
        <v>3</v>
      </c>
      <c r="J424" s="1">
        <v>46110</v>
      </c>
      <c r="K424">
        <v>0.95</v>
      </c>
      <c r="L424">
        <v>5</v>
      </c>
      <c r="M424">
        <v>299</v>
      </c>
      <c r="N424">
        <v>3</v>
      </c>
      <c r="O424" t="str">
        <f t="shared" si="12"/>
        <v>101-200</v>
      </c>
      <c r="P424" t="str">
        <f>IF(airbnb_data3[[#This Row],[price]]&lt;=100,"Budget",
IF(airbnb_data3[[#This Row],[price]]&lt;=200,"Mid-range",
IF(airbnb_data3[[#This Row],[price]]&lt;=300,"Premium","Luxury")))</f>
        <v>Mid-range</v>
      </c>
      <c r="Q424" t="str">
        <f>IF(airbnb_data3[[#This Row],[availability_365]]&lt;=120,"Low Availability",IF(airbnb_data3[[#This Row],[availability_365]]&lt;=240,"Medium Availability","High Availability"))</f>
        <v>High Availability</v>
      </c>
      <c r="R424" s="6" t="str">
        <f t="shared" si="13"/>
        <v>Medium</v>
      </c>
      <c r="S424" s="6" t="str">
        <f>IF(airbnb_data3[[#This Row],[minimum_nights]]&lt;=3,"Short Stay",IF(airbnb_data3[[#This Row],[minimum_nights]]&lt;=7,"Medium Stay","Long Stay"))</f>
        <v>Medium Stay</v>
      </c>
    </row>
    <row r="425" spans="1:19" x14ac:dyDescent="0.35">
      <c r="A425" t="s">
        <v>653</v>
      </c>
      <c r="B425" t="s">
        <v>259</v>
      </c>
      <c r="C425" t="s">
        <v>51</v>
      </c>
      <c r="D425">
        <v>42.654995700000001</v>
      </c>
      <c r="E425">
        <v>-73.775721500000003</v>
      </c>
      <c r="F425" t="s">
        <v>22</v>
      </c>
      <c r="G425">
        <v>225</v>
      </c>
      <c r="H425">
        <v>1</v>
      </c>
      <c r="I425">
        <v>6</v>
      </c>
      <c r="J425" s="1">
        <v>46174</v>
      </c>
      <c r="K425">
        <v>2.0699999999999998</v>
      </c>
      <c r="L425">
        <v>3</v>
      </c>
      <c r="M425">
        <v>347</v>
      </c>
      <c r="N425">
        <v>6</v>
      </c>
      <c r="O425" t="str">
        <f t="shared" si="12"/>
        <v>201-300</v>
      </c>
      <c r="P425" t="str">
        <f>IF(airbnb_data3[[#This Row],[price]]&lt;=100,"Budget",
IF(airbnb_data3[[#This Row],[price]]&lt;=200,"Mid-range",
IF(airbnb_data3[[#This Row],[price]]&lt;=300,"Premium","Luxury")))</f>
        <v>Premium</v>
      </c>
      <c r="Q425" t="str">
        <f>IF(airbnb_data3[[#This Row],[availability_365]]&lt;=120,"Low Availability",IF(airbnb_data3[[#This Row],[availability_365]]&lt;=240,"Medium Availability","High Availability"))</f>
        <v>High Availability</v>
      </c>
      <c r="R425" s="6" t="str">
        <f t="shared" si="13"/>
        <v>Medium</v>
      </c>
      <c r="S425" s="6" t="str">
        <f>IF(airbnb_data3[[#This Row],[minimum_nights]]&lt;=3,"Short Stay",IF(airbnb_data3[[#This Row],[minimum_nights]]&lt;=7,"Medium Stay","Long Stay"))</f>
        <v>Short Stay</v>
      </c>
    </row>
    <row r="426" spans="1:19" x14ac:dyDescent="0.35">
      <c r="A426" t="s">
        <v>654</v>
      </c>
      <c r="B426" t="s">
        <v>544</v>
      </c>
      <c r="C426" t="s">
        <v>34</v>
      </c>
      <c r="D426">
        <v>42.66827</v>
      </c>
      <c r="E426">
        <v>-73.798829999999995</v>
      </c>
      <c r="F426" t="s">
        <v>31</v>
      </c>
      <c r="G426">
        <v>50</v>
      </c>
      <c r="H426">
        <v>5</v>
      </c>
      <c r="I426">
        <v>0</v>
      </c>
      <c r="K426">
        <v>0</v>
      </c>
      <c r="L426">
        <v>5</v>
      </c>
      <c r="M426">
        <v>343</v>
      </c>
      <c r="N426">
        <v>0</v>
      </c>
      <c r="O426" t="str">
        <f t="shared" si="12"/>
        <v>0-100</v>
      </c>
      <c r="P426" t="str">
        <f>IF(airbnb_data3[[#This Row],[price]]&lt;=100,"Budget",
IF(airbnb_data3[[#This Row],[price]]&lt;=200,"Mid-range",
IF(airbnb_data3[[#This Row],[price]]&lt;=300,"Premium","Luxury")))</f>
        <v>Budget</v>
      </c>
      <c r="Q426" t="str">
        <f>IF(airbnb_data3[[#This Row],[availability_365]]&lt;=120,"Low Availability",IF(airbnb_data3[[#This Row],[availability_365]]&lt;=240,"Medium Availability","High Availability"))</f>
        <v>High Availability</v>
      </c>
      <c r="R426" s="6" t="str">
        <f t="shared" si="13"/>
        <v>Medium</v>
      </c>
      <c r="S426" s="6" t="str">
        <f>IF(airbnb_data3[[#This Row],[minimum_nights]]&lt;=3,"Short Stay",IF(airbnb_data3[[#This Row],[minimum_nights]]&lt;=7,"Medium Stay","Long Stay"))</f>
        <v>Medium Stay</v>
      </c>
    </row>
    <row r="427" spans="1:19" x14ac:dyDescent="0.35">
      <c r="A427" t="s">
        <v>655</v>
      </c>
      <c r="B427" t="s">
        <v>544</v>
      </c>
      <c r="C427" t="s">
        <v>34</v>
      </c>
      <c r="D427">
        <v>42.667830000000002</v>
      </c>
      <c r="E427">
        <v>-73.800529999999995</v>
      </c>
      <c r="F427" t="s">
        <v>31</v>
      </c>
      <c r="G427">
        <v>47</v>
      </c>
      <c r="H427">
        <v>5</v>
      </c>
      <c r="I427">
        <v>1</v>
      </c>
      <c r="J427" s="1">
        <v>46141</v>
      </c>
      <c r="K427">
        <v>0.61</v>
      </c>
      <c r="L427">
        <v>5</v>
      </c>
      <c r="M427">
        <v>310</v>
      </c>
      <c r="N427">
        <v>1</v>
      </c>
      <c r="O427" t="str">
        <f t="shared" si="12"/>
        <v>0-100</v>
      </c>
      <c r="P427" t="str">
        <f>IF(airbnb_data3[[#This Row],[price]]&lt;=100,"Budget",
IF(airbnb_data3[[#This Row],[price]]&lt;=200,"Mid-range",
IF(airbnb_data3[[#This Row],[price]]&lt;=300,"Premium","Luxury")))</f>
        <v>Budget</v>
      </c>
      <c r="Q427" t="str">
        <f>IF(airbnb_data3[[#This Row],[availability_365]]&lt;=120,"Low Availability",IF(airbnb_data3[[#This Row],[availability_365]]&lt;=240,"Medium Availability","High Availability"))</f>
        <v>High Availability</v>
      </c>
      <c r="R427" s="6" t="str">
        <f t="shared" si="13"/>
        <v>Medium</v>
      </c>
      <c r="S427" s="6" t="str">
        <f>IF(airbnb_data3[[#This Row],[minimum_nights]]&lt;=3,"Short Stay",IF(airbnb_data3[[#This Row],[minimum_nights]]&lt;=7,"Medium Stay","Long Stay"))</f>
        <v>Medium Stay</v>
      </c>
    </row>
    <row r="428" spans="1:19" x14ac:dyDescent="0.35">
      <c r="A428" t="s">
        <v>656</v>
      </c>
      <c r="B428" t="s">
        <v>544</v>
      </c>
      <c r="C428" t="s">
        <v>68</v>
      </c>
      <c r="D428">
        <v>42.66919</v>
      </c>
      <c r="E428">
        <v>-73.798649999999995</v>
      </c>
      <c r="F428" t="s">
        <v>31</v>
      </c>
      <c r="G428">
        <v>69</v>
      </c>
      <c r="H428">
        <v>5</v>
      </c>
      <c r="I428">
        <v>3</v>
      </c>
      <c r="J428" s="1">
        <v>46152</v>
      </c>
      <c r="K428">
        <v>1.32</v>
      </c>
      <c r="L428">
        <v>5</v>
      </c>
      <c r="M428">
        <v>299</v>
      </c>
      <c r="N428">
        <v>3</v>
      </c>
      <c r="O428" t="str">
        <f t="shared" si="12"/>
        <v>0-100</v>
      </c>
      <c r="P428" t="str">
        <f>IF(airbnb_data3[[#This Row],[price]]&lt;=100,"Budget",
IF(airbnb_data3[[#This Row],[price]]&lt;=200,"Mid-range",
IF(airbnb_data3[[#This Row],[price]]&lt;=300,"Premium","Luxury")))</f>
        <v>Budget</v>
      </c>
      <c r="Q428" t="str">
        <f>IF(airbnb_data3[[#This Row],[availability_365]]&lt;=120,"Low Availability",IF(airbnb_data3[[#This Row],[availability_365]]&lt;=240,"Medium Availability","High Availability"))</f>
        <v>High Availability</v>
      </c>
      <c r="R428" s="6" t="str">
        <f t="shared" si="13"/>
        <v>Medium</v>
      </c>
      <c r="S428" s="6" t="str">
        <f>IF(airbnb_data3[[#This Row],[minimum_nights]]&lt;=3,"Short Stay",IF(airbnb_data3[[#This Row],[minimum_nights]]&lt;=7,"Medium Stay","Long Stay"))</f>
        <v>Medium Stay</v>
      </c>
    </row>
    <row r="429" spans="1:19" x14ac:dyDescent="0.35">
      <c r="A429" t="s">
        <v>657</v>
      </c>
      <c r="B429" t="s">
        <v>658</v>
      </c>
      <c r="C429" t="s">
        <v>51</v>
      </c>
      <c r="D429">
        <v>42.654269999999997</v>
      </c>
      <c r="E429">
        <v>-73.786450000000002</v>
      </c>
      <c r="F429" t="s">
        <v>22</v>
      </c>
      <c r="G429">
        <v>150</v>
      </c>
      <c r="H429">
        <v>2</v>
      </c>
      <c r="I429">
        <v>8</v>
      </c>
      <c r="J429" s="1">
        <v>46187</v>
      </c>
      <c r="K429">
        <v>3.04</v>
      </c>
      <c r="L429">
        <v>1</v>
      </c>
      <c r="M429">
        <v>349</v>
      </c>
      <c r="N429">
        <v>8</v>
      </c>
      <c r="O429" t="str">
        <f t="shared" si="12"/>
        <v>101-200</v>
      </c>
      <c r="P429" t="str">
        <f>IF(airbnb_data3[[#This Row],[price]]&lt;=100,"Budget",
IF(airbnb_data3[[#This Row],[price]]&lt;=200,"Mid-range",
IF(airbnb_data3[[#This Row],[price]]&lt;=300,"Premium","Luxury")))</f>
        <v>Mid-range</v>
      </c>
      <c r="Q429" t="str">
        <f>IF(airbnb_data3[[#This Row],[availability_365]]&lt;=120,"Low Availability",IF(airbnb_data3[[#This Row],[availability_365]]&lt;=240,"Medium Availability","High Availability"))</f>
        <v>High Availability</v>
      </c>
      <c r="R429" s="6" t="str">
        <f t="shared" si="13"/>
        <v>Medium</v>
      </c>
      <c r="S429" s="6" t="str">
        <f>IF(airbnb_data3[[#This Row],[minimum_nights]]&lt;=3,"Short Stay",IF(airbnb_data3[[#This Row],[minimum_nights]]&lt;=7,"Medium Stay","Long Stay"))</f>
        <v>Short Stay</v>
      </c>
    </row>
    <row r="430" spans="1:19" x14ac:dyDescent="0.35">
      <c r="A430" t="s">
        <v>659</v>
      </c>
      <c r="B430" t="s">
        <v>660</v>
      </c>
      <c r="C430" t="s">
        <v>21</v>
      </c>
      <c r="D430">
        <v>42.645488999999998</v>
      </c>
      <c r="E430">
        <v>-73.750291599999997</v>
      </c>
      <c r="F430" t="s">
        <v>537</v>
      </c>
      <c r="G430">
        <v>124</v>
      </c>
      <c r="H430">
        <v>1</v>
      </c>
      <c r="I430">
        <v>0</v>
      </c>
      <c r="K430">
        <v>0</v>
      </c>
      <c r="L430">
        <v>8</v>
      </c>
      <c r="M430">
        <v>313</v>
      </c>
      <c r="N430">
        <v>0</v>
      </c>
      <c r="O430" t="str">
        <f t="shared" si="12"/>
        <v>101-200</v>
      </c>
      <c r="P430" t="str">
        <f>IF(airbnb_data3[[#This Row],[price]]&lt;=100,"Budget",
IF(airbnb_data3[[#This Row],[price]]&lt;=200,"Mid-range",
IF(airbnb_data3[[#This Row],[price]]&lt;=300,"Premium","Luxury")))</f>
        <v>Mid-range</v>
      </c>
      <c r="Q430" t="str">
        <f>IF(airbnb_data3[[#This Row],[availability_365]]&lt;=120,"Low Availability",IF(airbnb_data3[[#This Row],[availability_365]]&lt;=240,"Medium Availability","High Availability"))</f>
        <v>High Availability</v>
      </c>
      <c r="R430" s="6" t="str">
        <f t="shared" si="13"/>
        <v>Medium</v>
      </c>
      <c r="S430" s="6" t="str">
        <f>IF(airbnb_data3[[#This Row],[minimum_nights]]&lt;=3,"Short Stay",IF(airbnb_data3[[#This Row],[minimum_nights]]&lt;=7,"Medium Stay","Long Stay"))</f>
        <v>Short Stay</v>
      </c>
    </row>
    <row r="431" spans="1:19" x14ac:dyDescent="0.35">
      <c r="A431" t="s">
        <v>661</v>
      </c>
      <c r="B431" t="s">
        <v>660</v>
      </c>
      <c r="C431" t="s">
        <v>21</v>
      </c>
      <c r="D431">
        <v>42.645488999999998</v>
      </c>
      <c r="E431">
        <v>-73.750291599999997</v>
      </c>
      <c r="F431" t="s">
        <v>537</v>
      </c>
      <c r="G431">
        <v>124</v>
      </c>
      <c r="H431">
        <v>1</v>
      </c>
      <c r="I431">
        <v>0</v>
      </c>
      <c r="K431">
        <v>0</v>
      </c>
      <c r="L431">
        <v>8</v>
      </c>
      <c r="M431">
        <v>313</v>
      </c>
      <c r="N431">
        <v>0</v>
      </c>
      <c r="O431" t="str">
        <f t="shared" si="12"/>
        <v>101-200</v>
      </c>
      <c r="P431" t="str">
        <f>IF(airbnb_data3[[#This Row],[price]]&lt;=100,"Budget",
IF(airbnb_data3[[#This Row],[price]]&lt;=200,"Mid-range",
IF(airbnb_data3[[#This Row],[price]]&lt;=300,"Premium","Luxury")))</f>
        <v>Mid-range</v>
      </c>
      <c r="Q431" t="str">
        <f>IF(airbnb_data3[[#This Row],[availability_365]]&lt;=120,"Low Availability",IF(airbnb_data3[[#This Row],[availability_365]]&lt;=240,"Medium Availability","High Availability"))</f>
        <v>High Availability</v>
      </c>
      <c r="R431" s="6" t="str">
        <f t="shared" si="13"/>
        <v>Medium</v>
      </c>
      <c r="S431" s="6" t="str">
        <f>IF(airbnb_data3[[#This Row],[minimum_nights]]&lt;=3,"Short Stay",IF(airbnb_data3[[#This Row],[minimum_nights]]&lt;=7,"Medium Stay","Long Stay"))</f>
        <v>Short Stay</v>
      </c>
    </row>
    <row r="432" spans="1:19" x14ac:dyDescent="0.35">
      <c r="A432" t="s">
        <v>662</v>
      </c>
      <c r="B432" t="s">
        <v>660</v>
      </c>
      <c r="C432" t="s">
        <v>21</v>
      </c>
      <c r="D432">
        <v>42.645488999999998</v>
      </c>
      <c r="E432">
        <v>-73.750291599999997</v>
      </c>
      <c r="F432" t="s">
        <v>537</v>
      </c>
      <c r="G432">
        <v>248</v>
      </c>
      <c r="H432">
        <v>1</v>
      </c>
      <c r="I432">
        <v>0</v>
      </c>
      <c r="K432">
        <v>0</v>
      </c>
      <c r="L432">
        <v>8</v>
      </c>
      <c r="M432">
        <v>312</v>
      </c>
      <c r="N432">
        <v>0</v>
      </c>
      <c r="O432" t="str">
        <f t="shared" si="12"/>
        <v>201-300</v>
      </c>
      <c r="P432" t="str">
        <f>IF(airbnb_data3[[#This Row],[price]]&lt;=100,"Budget",
IF(airbnb_data3[[#This Row],[price]]&lt;=200,"Mid-range",
IF(airbnb_data3[[#This Row],[price]]&lt;=300,"Premium","Luxury")))</f>
        <v>Premium</v>
      </c>
      <c r="Q432" t="str">
        <f>IF(airbnb_data3[[#This Row],[availability_365]]&lt;=120,"Low Availability",IF(airbnb_data3[[#This Row],[availability_365]]&lt;=240,"Medium Availability","High Availability"))</f>
        <v>High Availability</v>
      </c>
      <c r="R432" s="6" t="str">
        <f t="shared" si="13"/>
        <v>Medium</v>
      </c>
      <c r="S432" s="6" t="str">
        <f>IF(airbnb_data3[[#This Row],[minimum_nights]]&lt;=3,"Short Stay",IF(airbnb_data3[[#This Row],[minimum_nights]]&lt;=7,"Medium Stay","Long Stay"))</f>
        <v>Short Stay</v>
      </c>
    </row>
    <row r="433" spans="1:19" x14ac:dyDescent="0.35">
      <c r="A433" t="s">
        <v>663</v>
      </c>
      <c r="B433" t="s">
        <v>660</v>
      </c>
      <c r="C433" t="s">
        <v>21</v>
      </c>
      <c r="D433">
        <v>42.645488999999998</v>
      </c>
      <c r="E433">
        <v>-73.750291599999997</v>
      </c>
      <c r="F433" t="s">
        <v>537</v>
      </c>
      <c r="G433">
        <v>248</v>
      </c>
      <c r="H433">
        <v>1</v>
      </c>
      <c r="I433">
        <v>0</v>
      </c>
      <c r="K433">
        <v>0</v>
      </c>
      <c r="L433">
        <v>8</v>
      </c>
      <c r="M433">
        <v>312</v>
      </c>
      <c r="N433">
        <v>0</v>
      </c>
      <c r="O433" t="str">
        <f t="shared" si="12"/>
        <v>201-300</v>
      </c>
      <c r="P433" t="str">
        <f>IF(airbnb_data3[[#This Row],[price]]&lt;=100,"Budget",
IF(airbnb_data3[[#This Row],[price]]&lt;=200,"Mid-range",
IF(airbnb_data3[[#This Row],[price]]&lt;=300,"Premium","Luxury")))</f>
        <v>Premium</v>
      </c>
      <c r="Q433" t="str">
        <f>IF(airbnb_data3[[#This Row],[availability_365]]&lt;=120,"Low Availability",IF(airbnb_data3[[#This Row],[availability_365]]&lt;=240,"Medium Availability","High Availability"))</f>
        <v>High Availability</v>
      </c>
      <c r="R433" s="6" t="str">
        <f t="shared" si="13"/>
        <v>Medium</v>
      </c>
      <c r="S433" s="6" t="str">
        <f>IF(airbnb_data3[[#This Row],[minimum_nights]]&lt;=3,"Short Stay",IF(airbnb_data3[[#This Row],[minimum_nights]]&lt;=7,"Medium Stay","Long Stay"))</f>
        <v>Short Stay</v>
      </c>
    </row>
    <row r="434" spans="1:19" x14ac:dyDescent="0.35">
      <c r="A434" t="s">
        <v>664</v>
      </c>
      <c r="B434" t="s">
        <v>660</v>
      </c>
      <c r="C434" t="s">
        <v>21</v>
      </c>
      <c r="D434">
        <v>42.645490000000002</v>
      </c>
      <c r="E434">
        <v>-73.750290000000007</v>
      </c>
      <c r="F434" t="s">
        <v>537</v>
      </c>
      <c r="G434">
        <v>372</v>
      </c>
      <c r="H434">
        <v>1</v>
      </c>
      <c r="I434">
        <v>0</v>
      </c>
      <c r="K434">
        <v>0</v>
      </c>
      <c r="L434">
        <v>8</v>
      </c>
      <c r="M434">
        <v>312</v>
      </c>
      <c r="N434">
        <v>0</v>
      </c>
      <c r="O434" t="str">
        <f t="shared" si="12"/>
        <v>301-500</v>
      </c>
      <c r="P434" t="str">
        <f>IF(airbnb_data3[[#This Row],[price]]&lt;=100,"Budget",
IF(airbnb_data3[[#This Row],[price]]&lt;=200,"Mid-range",
IF(airbnb_data3[[#This Row],[price]]&lt;=300,"Premium","Luxury")))</f>
        <v>Luxury</v>
      </c>
      <c r="Q434" t="str">
        <f>IF(airbnb_data3[[#This Row],[availability_365]]&lt;=120,"Low Availability",IF(airbnb_data3[[#This Row],[availability_365]]&lt;=240,"Medium Availability","High Availability"))</f>
        <v>High Availability</v>
      </c>
      <c r="R434" s="6" t="str">
        <f t="shared" si="13"/>
        <v>Medium</v>
      </c>
      <c r="S434" s="6" t="str">
        <f>IF(airbnb_data3[[#This Row],[minimum_nights]]&lt;=3,"Short Stay",IF(airbnb_data3[[#This Row],[minimum_nights]]&lt;=7,"Medium Stay","Long Stay"))</f>
        <v>Short Stay</v>
      </c>
    </row>
    <row r="435" spans="1:19" x14ac:dyDescent="0.35">
      <c r="A435" t="s">
        <v>665</v>
      </c>
      <c r="B435" t="s">
        <v>660</v>
      </c>
      <c r="C435" t="s">
        <v>21</v>
      </c>
      <c r="D435">
        <v>42.645488999999998</v>
      </c>
      <c r="E435">
        <v>-73.750291599999997</v>
      </c>
      <c r="F435" t="s">
        <v>537</v>
      </c>
      <c r="G435">
        <v>372</v>
      </c>
      <c r="H435">
        <v>1</v>
      </c>
      <c r="I435">
        <v>0</v>
      </c>
      <c r="K435">
        <v>0</v>
      </c>
      <c r="L435">
        <v>8</v>
      </c>
      <c r="M435">
        <v>312</v>
      </c>
      <c r="N435">
        <v>0</v>
      </c>
      <c r="O435" t="str">
        <f t="shared" si="12"/>
        <v>301-500</v>
      </c>
      <c r="P435" t="str">
        <f>IF(airbnb_data3[[#This Row],[price]]&lt;=100,"Budget",
IF(airbnb_data3[[#This Row],[price]]&lt;=200,"Mid-range",
IF(airbnb_data3[[#This Row],[price]]&lt;=300,"Premium","Luxury")))</f>
        <v>Luxury</v>
      </c>
      <c r="Q435" t="str">
        <f>IF(airbnb_data3[[#This Row],[availability_365]]&lt;=120,"Low Availability",IF(airbnb_data3[[#This Row],[availability_365]]&lt;=240,"Medium Availability","High Availability"))</f>
        <v>High Availability</v>
      </c>
      <c r="R435" s="6" t="str">
        <f t="shared" si="13"/>
        <v>Medium</v>
      </c>
      <c r="S435" s="6" t="str">
        <f>IF(airbnb_data3[[#This Row],[minimum_nights]]&lt;=3,"Short Stay",IF(airbnb_data3[[#This Row],[minimum_nights]]&lt;=7,"Medium Stay","Long Stay"))</f>
        <v>Short Stay</v>
      </c>
    </row>
    <row r="436" spans="1:19" x14ac:dyDescent="0.35">
      <c r="A436" t="s">
        <v>666</v>
      </c>
      <c r="B436" t="s">
        <v>660</v>
      </c>
      <c r="C436" t="s">
        <v>21</v>
      </c>
      <c r="D436">
        <v>42.645488999999998</v>
      </c>
      <c r="E436">
        <v>-73.750291599999997</v>
      </c>
      <c r="F436" t="s">
        <v>537</v>
      </c>
      <c r="G436">
        <v>124</v>
      </c>
      <c r="H436">
        <v>1</v>
      </c>
      <c r="I436">
        <v>0</v>
      </c>
      <c r="K436">
        <v>0</v>
      </c>
      <c r="L436">
        <v>8</v>
      </c>
      <c r="M436">
        <v>316</v>
      </c>
      <c r="N436">
        <v>0</v>
      </c>
      <c r="O436" t="str">
        <f t="shared" si="12"/>
        <v>101-200</v>
      </c>
      <c r="P436" t="str">
        <f>IF(airbnb_data3[[#This Row],[price]]&lt;=100,"Budget",
IF(airbnb_data3[[#This Row],[price]]&lt;=200,"Mid-range",
IF(airbnb_data3[[#This Row],[price]]&lt;=300,"Premium","Luxury")))</f>
        <v>Mid-range</v>
      </c>
      <c r="Q436" t="str">
        <f>IF(airbnb_data3[[#This Row],[availability_365]]&lt;=120,"Low Availability",IF(airbnb_data3[[#This Row],[availability_365]]&lt;=240,"Medium Availability","High Availability"))</f>
        <v>High Availability</v>
      </c>
      <c r="R436" s="6" t="str">
        <f t="shared" si="13"/>
        <v>Medium</v>
      </c>
      <c r="S436" s="6" t="str">
        <f>IF(airbnb_data3[[#This Row],[minimum_nights]]&lt;=3,"Short Stay",IF(airbnb_data3[[#This Row],[minimum_nights]]&lt;=7,"Medium Stay","Long Stay"))</f>
        <v>Short Stay</v>
      </c>
    </row>
    <row r="437" spans="1:19" x14ac:dyDescent="0.35">
      <c r="A437" t="s">
        <v>667</v>
      </c>
      <c r="B437" t="s">
        <v>660</v>
      </c>
      <c r="C437" t="s">
        <v>21</v>
      </c>
      <c r="D437">
        <v>42.645488999999998</v>
      </c>
      <c r="E437">
        <v>-73.750291599999997</v>
      </c>
      <c r="F437" t="s">
        <v>537</v>
      </c>
      <c r="G437">
        <v>124</v>
      </c>
      <c r="H437">
        <v>1</v>
      </c>
      <c r="I437">
        <v>0</v>
      </c>
      <c r="K437">
        <v>0</v>
      </c>
      <c r="L437">
        <v>8</v>
      </c>
      <c r="M437">
        <v>316</v>
      </c>
      <c r="N437">
        <v>0</v>
      </c>
      <c r="O437" t="str">
        <f t="shared" si="12"/>
        <v>101-200</v>
      </c>
      <c r="P437" t="str">
        <f>IF(airbnb_data3[[#This Row],[price]]&lt;=100,"Budget",
IF(airbnb_data3[[#This Row],[price]]&lt;=200,"Mid-range",
IF(airbnb_data3[[#This Row],[price]]&lt;=300,"Premium","Luxury")))</f>
        <v>Mid-range</v>
      </c>
      <c r="Q437" t="str">
        <f>IF(airbnb_data3[[#This Row],[availability_365]]&lt;=120,"Low Availability",IF(airbnb_data3[[#This Row],[availability_365]]&lt;=240,"Medium Availability","High Availability"))</f>
        <v>High Availability</v>
      </c>
      <c r="R437" s="6" t="str">
        <f t="shared" si="13"/>
        <v>Medium</v>
      </c>
      <c r="S437" s="6" t="str">
        <f>IF(airbnb_data3[[#This Row],[minimum_nights]]&lt;=3,"Short Stay",IF(airbnb_data3[[#This Row],[minimum_nights]]&lt;=7,"Medium Stay","Long Stay"))</f>
        <v>Short Stay</v>
      </c>
    </row>
    <row r="438" spans="1:19" x14ac:dyDescent="0.35">
      <c r="A438" t="s">
        <v>668</v>
      </c>
      <c r="B438" t="s">
        <v>669</v>
      </c>
      <c r="C438" t="s">
        <v>25</v>
      </c>
      <c r="D438">
        <v>42.653840000000002</v>
      </c>
      <c r="E438">
        <v>-73.767629999999997</v>
      </c>
      <c r="F438" t="s">
        <v>22</v>
      </c>
      <c r="G438">
        <v>133</v>
      </c>
      <c r="H438">
        <v>3</v>
      </c>
      <c r="I438">
        <v>6</v>
      </c>
      <c r="J438" s="1">
        <v>46176</v>
      </c>
      <c r="K438">
        <v>2.31</v>
      </c>
      <c r="L438">
        <v>2</v>
      </c>
      <c r="M438">
        <v>331</v>
      </c>
      <c r="N438">
        <v>6</v>
      </c>
      <c r="O438" t="str">
        <f t="shared" si="12"/>
        <v>101-200</v>
      </c>
      <c r="P438" t="str">
        <f>IF(airbnb_data3[[#This Row],[price]]&lt;=100,"Budget",
IF(airbnb_data3[[#This Row],[price]]&lt;=200,"Mid-range",
IF(airbnb_data3[[#This Row],[price]]&lt;=300,"Premium","Luxury")))</f>
        <v>Mid-range</v>
      </c>
      <c r="Q438" t="str">
        <f>IF(airbnb_data3[[#This Row],[availability_365]]&lt;=120,"Low Availability",IF(airbnb_data3[[#This Row],[availability_365]]&lt;=240,"Medium Availability","High Availability"))</f>
        <v>High Availability</v>
      </c>
      <c r="R438" s="6" t="str">
        <f t="shared" si="13"/>
        <v>Medium</v>
      </c>
      <c r="S438" s="6" t="str">
        <f>IF(airbnb_data3[[#This Row],[minimum_nights]]&lt;=3,"Short Stay",IF(airbnb_data3[[#This Row],[minimum_nights]]&lt;=7,"Medium Stay","Long Stay"))</f>
        <v>Short Stay</v>
      </c>
    </row>
    <row r="439" spans="1:19" x14ac:dyDescent="0.35">
      <c r="A439" t="s">
        <v>670</v>
      </c>
      <c r="B439" t="s">
        <v>182</v>
      </c>
      <c r="C439" t="s">
        <v>25</v>
      </c>
      <c r="D439">
        <v>42.653632500000001</v>
      </c>
      <c r="E439">
        <v>-73.770234799999997</v>
      </c>
      <c r="F439" t="s">
        <v>22</v>
      </c>
      <c r="G439">
        <v>166</v>
      </c>
      <c r="H439">
        <v>1</v>
      </c>
      <c r="I439">
        <v>6</v>
      </c>
      <c r="J439" s="1">
        <v>46165</v>
      </c>
      <c r="K439">
        <v>2.65</v>
      </c>
      <c r="L439">
        <v>16</v>
      </c>
      <c r="M439">
        <v>336</v>
      </c>
      <c r="N439">
        <v>6</v>
      </c>
      <c r="O439" t="str">
        <f t="shared" si="12"/>
        <v>101-200</v>
      </c>
      <c r="P439" t="str">
        <f>IF(airbnb_data3[[#This Row],[price]]&lt;=100,"Budget",
IF(airbnb_data3[[#This Row],[price]]&lt;=200,"Mid-range",
IF(airbnb_data3[[#This Row],[price]]&lt;=300,"Premium","Luxury")))</f>
        <v>Mid-range</v>
      </c>
      <c r="Q439" t="str">
        <f>IF(airbnb_data3[[#This Row],[availability_365]]&lt;=120,"Low Availability",IF(airbnb_data3[[#This Row],[availability_365]]&lt;=240,"Medium Availability","High Availability"))</f>
        <v>High Availability</v>
      </c>
      <c r="R439" s="6" t="str">
        <f t="shared" si="13"/>
        <v>Medium</v>
      </c>
      <c r="S439" s="6" t="str">
        <f>IF(airbnb_data3[[#This Row],[minimum_nights]]&lt;=3,"Short Stay",IF(airbnb_data3[[#This Row],[minimum_nights]]&lt;=7,"Medium Stay","Long Stay"))</f>
        <v>Short Stay</v>
      </c>
    </row>
    <row r="440" spans="1:19" x14ac:dyDescent="0.35">
      <c r="A440" t="s">
        <v>671</v>
      </c>
      <c r="B440" t="s">
        <v>672</v>
      </c>
      <c r="C440" t="s">
        <v>51</v>
      </c>
      <c r="D440">
        <v>42.655439999999999</v>
      </c>
      <c r="E440">
        <v>-73.776790000000005</v>
      </c>
      <c r="F440" t="s">
        <v>22</v>
      </c>
      <c r="G440">
        <v>160</v>
      </c>
      <c r="H440">
        <v>1</v>
      </c>
      <c r="I440">
        <v>6</v>
      </c>
      <c r="J440" s="1">
        <v>46167</v>
      </c>
      <c r="K440">
        <v>2.77</v>
      </c>
      <c r="L440">
        <v>1</v>
      </c>
      <c r="M440">
        <v>13</v>
      </c>
      <c r="N440">
        <v>6</v>
      </c>
      <c r="O440" t="str">
        <f t="shared" si="12"/>
        <v>101-200</v>
      </c>
      <c r="P440" t="str">
        <f>IF(airbnb_data3[[#This Row],[price]]&lt;=100,"Budget",
IF(airbnb_data3[[#This Row],[price]]&lt;=200,"Mid-range",
IF(airbnb_data3[[#This Row],[price]]&lt;=300,"Premium","Luxury")))</f>
        <v>Mid-range</v>
      </c>
      <c r="Q440" t="str">
        <f>IF(airbnb_data3[[#This Row],[availability_365]]&lt;=120,"Low Availability",IF(airbnb_data3[[#This Row],[availability_365]]&lt;=240,"Medium Availability","High Availability"))</f>
        <v>Low Availability</v>
      </c>
      <c r="R440" s="6" t="str">
        <f t="shared" si="13"/>
        <v>Medium</v>
      </c>
      <c r="S440" s="6" t="str">
        <f>IF(airbnb_data3[[#This Row],[minimum_nights]]&lt;=3,"Short Stay",IF(airbnb_data3[[#This Row],[minimum_nights]]&lt;=7,"Medium Stay","Long Stay"))</f>
        <v>Short Stay</v>
      </c>
    </row>
    <row r="441" spans="1:19" x14ac:dyDescent="0.35">
      <c r="A441" t="s">
        <v>673</v>
      </c>
      <c r="B441" t="s">
        <v>674</v>
      </c>
      <c r="C441" t="s">
        <v>47</v>
      </c>
      <c r="D441">
        <v>42.661799999999999</v>
      </c>
      <c r="E441">
        <v>-73.790099999999995</v>
      </c>
      <c r="F441" t="s">
        <v>22</v>
      </c>
      <c r="G441">
        <v>442</v>
      </c>
      <c r="H441">
        <v>1</v>
      </c>
      <c r="I441">
        <v>2</v>
      </c>
      <c r="J441" s="1">
        <v>46173</v>
      </c>
      <c r="K441">
        <v>2</v>
      </c>
      <c r="L441">
        <v>1</v>
      </c>
      <c r="M441">
        <v>35</v>
      </c>
      <c r="N441">
        <v>2</v>
      </c>
      <c r="O441" t="str">
        <f t="shared" si="12"/>
        <v>301-500</v>
      </c>
      <c r="P441" t="str">
        <f>IF(airbnb_data3[[#This Row],[price]]&lt;=100,"Budget",
IF(airbnb_data3[[#This Row],[price]]&lt;=200,"Mid-range",
IF(airbnb_data3[[#This Row],[price]]&lt;=300,"Premium","Luxury")))</f>
        <v>Luxury</v>
      </c>
      <c r="Q441" t="str">
        <f>IF(airbnb_data3[[#This Row],[availability_365]]&lt;=120,"Low Availability",IF(airbnb_data3[[#This Row],[availability_365]]&lt;=240,"Medium Availability","High Availability"))</f>
        <v>Low Availability</v>
      </c>
      <c r="R441" s="6" t="str">
        <f t="shared" si="13"/>
        <v>Medium</v>
      </c>
      <c r="S441" s="6" t="str">
        <f>IF(airbnb_data3[[#This Row],[minimum_nights]]&lt;=3,"Short Stay",IF(airbnb_data3[[#This Row],[minimum_nights]]&lt;=7,"Medium Stay","Long Stay"))</f>
        <v>Short Stay</v>
      </c>
    </row>
    <row r="442" spans="1:19" x14ac:dyDescent="0.35">
      <c r="A442" t="s">
        <v>675</v>
      </c>
      <c r="B442" t="s">
        <v>669</v>
      </c>
      <c r="C442" t="s">
        <v>25</v>
      </c>
      <c r="D442">
        <v>42.653559999999999</v>
      </c>
      <c r="E442">
        <v>-73.767439999999993</v>
      </c>
      <c r="F442" t="s">
        <v>22</v>
      </c>
      <c r="G442">
        <v>132</v>
      </c>
      <c r="H442">
        <v>3</v>
      </c>
      <c r="I442">
        <v>5</v>
      </c>
      <c r="J442" s="1">
        <v>46183</v>
      </c>
      <c r="K442">
        <v>2.68</v>
      </c>
      <c r="L442">
        <v>2</v>
      </c>
      <c r="M442">
        <v>335</v>
      </c>
      <c r="N442">
        <v>5</v>
      </c>
      <c r="O442" t="str">
        <f t="shared" si="12"/>
        <v>101-200</v>
      </c>
      <c r="P442" t="str">
        <f>IF(airbnb_data3[[#This Row],[price]]&lt;=100,"Budget",
IF(airbnb_data3[[#This Row],[price]]&lt;=200,"Mid-range",
IF(airbnb_data3[[#This Row],[price]]&lt;=300,"Premium","Luxury")))</f>
        <v>Mid-range</v>
      </c>
      <c r="Q442" t="str">
        <f>IF(airbnb_data3[[#This Row],[availability_365]]&lt;=120,"Low Availability",IF(airbnb_data3[[#This Row],[availability_365]]&lt;=240,"Medium Availability","High Availability"))</f>
        <v>High Availability</v>
      </c>
      <c r="R442" s="6" t="str">
        <f t="shared" si="13"/>
        <v>Medium</v>
      </c>
      <c r="S442" s="6" t="str">
        <f>IF(airbnb_data3[[#This Row],[minimum_nights]]&lt;=3,"Short Stay",IF(airbnb_data3[[#This Row],[minimum_nights]]&lt;=7,"Medium Stay","Long Stay"))</f>
        <v>Short Stay</v>
      </c>
    </row>
    <row r="443" spans="1:19" x14ac:dyDescent="0.35">
      <c r="A443" t="s">
        <v>676</v>
      </c>
      <c r="B443" t="s">
        <v>677</v>
      </c>
      <c r="C443" t="s">
        <v>25</v>
      </c>
      <c r="D443">
        <v>42.6518923560931</v>
      </c>
      <c r="E443">
        <v>-73.765306659042807</v>
      </c>
      <c r="F443" t="s">
        <v>22</v>
      </c>
      <c r="G443">
        <v>125</v>
      </c>
      <c r="H443">
        <v>1</v>
      </c>
      <c r="I443">
        <v>14</v>
      </c>
      <c r="J443" s="1">
        <v>46181</v>
      </c>
      <c r="K443">
        <v>7.12</v>
      </c>
      <c r="L443">
        <v>1</v>
      </c>
      <c r="M443">
        <v>315</v>
      </c>
      <c r="N443">
        <v>14</v>
      </c>
      <c r="O443" t="str">
        <f t="shared" si="12"/>
        <v>101-200</v>
      </c>
      <c r="P443" t="str">
        <f>IF(airbnb_data3[[#This Row],[price]]&lt;=100,"Budget",
IF(airbnb_data3[[#This Row],[price]]&lt;=200,"Mid-range",
IF(airbnb_data3[[#This Row],[price]]&lt;=300,"Premium","Luxury")))</f>
        <v>Mid-range</v>
      </c>
      <c r="Q443" t="str">
        <f>IF(airbnb_data3[[#This Row],[availability_365]]&lt;=120,"Low Availability",IF(airbnb_data3[[#This Row],[availability_365]]&lt;=240,"Medium Availability","High Availability"))</f>
        <v>High Availability</v>
      </c>
      <c r="R443" s="6" t="str">
        <f t="shared" si="13"/>
        <v>Medium</v>
      </c>
      <c r="S443" s="6" t="str">
        <f>IF(airbnb_data3[[#This Row],[minimum_nights]]&lt;=3,"Short Stay",IF(airbnb_data3[[#This Row],[minimum_nights]]&lt;=7,"Medium Stay","Long Stay"))</f>
        <v>Short Stay</v>
      </c>
    </row>
    <row r="444" spans="1:19" x14ac:dyDescent="0.35">
      <c r="A444" t="s">
        <v>678</v>
      </c>
      <c r="B444" t="s">
        <v>426</v>
      </c>
      <c r="C444" t="s">
        <v>47</v>
      </c>
      <c r="D444">
        <v>42.660078222164998</v>
      </c>
      <c r="E444">
        <v>-73.782032768403397</v>
      </c>
      <c r="F444" t="s">
        <v>31</v>
      </c>
      <c r="G444">
        <v>45</v>
      </c>
      <c r="H444">
        <v>28</v>
      </c>
      <c r="I444">
        <v>0</v>
      </c>
      <c r="K444">
        <v>0</v>
      </c>
      <c r="L444">
        <v>8</v>
      </c>
      <c r="M444">
        <v>361</v>
      </c>
      <c r="N444">
        <v>0</v>
      </c>
      <c r="O444" t="str">
        <f t="shared" si="12"/>
        <v>0-100</v>
      </c>
      <c r="P444" t="str">
        <f>IF(airbnb_data3[[#This Row],[price]]&lt;=100,"Budget",
IF(airbnb_data3[[#This Row],[price]]&lt;=200,"Mid-range",
IF(airbnb_data3[[#This Row],[price]]&lt;=300,"Premium","Luxury")))</f>
        <v>Budget</v>
      </c>
      <c r="Q444" t="str">
        <f>IF(airbnb_data3[[#This Row],[availability_365]]&lt;=120,"Low Availability",IF(airbnb_data3[[#This Row],[availability_365]]&lt;=240,"Medium Availability","High Availability"))</f>
        <v>High Availability</v>
      </c>
      <c r="R444" s="6" t="str">
        <f t="shared" si="13"/>
        <v>Medium</v>
      </c>
      <c r="S444" s="6" t="str">
        <f>IF(airbnb_data3[[#This Row],[minimum_nights]]&lt;=3,"Short Stay",IF(airbnb_data3[[#This Row],[minimum_nights]]&lt;=7,"Medium Stay","Long Stay"))</f>
        <v>Long Stay</v>
      </c>
    </row>
    <row r="445" spans="1:19" x14ac:dyDescent="0.35">
      <c r="A445" t="s">
        <v>679</v>
      </c>
      <c r="B445" t="s">
        <v>504</v>
      </c>
      <c r="C445" t="s">
        <v>270</v>
      </c>
      <c r="D445">
        <v>42.682282862427499</v>
      </c>
      <c r="E445">
        <v>-73.785031447993802</v>
      </c>
      <c r="F445" t="s">
        <v>22</v>
      </c>
      <c r="G445">
        <v>89</v>
      </c>
      <c r="H445">
        <v>1</v>
      </c>
      <c r="I445">
        <v>1</v>
      </c>
      <c r="J445" s="1">
        <v>46189</v>
      </c>
      <c r="K445">
        <v>1</v>
      </c>
      <c r="L445">
        <v>29</v>
      </c>
      <c r="M445">
        <v>365</v>
      </c>
      <c r="N445">
        <v>1</v>
      </c>
      <c r="O445" t="str">
        <f t="shared" si="12"/>
        <v>0-100</v>
      </c>
      <c r="P445" t="str">
        <f>IF(airbnb_data3[[#This Row],[price]]&lt;=100,"Budget",
IF(airbnb_data3[[#This Row],[price]]&lt;=200,"Mid-range",
IF(airbnb_data3[[#This Row],[price]]&lt;=300,"Premium","Luxury")))</f>
        <v>Budget</v>
      </c>
      <c r="Q445" t="str">
        <f>IF(airbnb_data3[[#This Row],[availability_365]]&lt;=120,"Low Availability",IF(airbnb_data3[[#This Row],[availability_365]]&lt;=240,"Medium Availability","High Availability"))</f>
        <v>High Availability</v>
      </c>
      <c r="R445" s="6" t="str">
        <f t="shared" si="13"/>
        <v>Medium</v>
      </c>
      <c r="S445" s="6" t="str">
        <f>IF(airbnb_data3[[#This Row],[minimum_nights]]&lt;=3,"Short Stay",IF(airbnb_data3[[#This Row],[minimum_nights]]&lt;=7,"Medium Stay","Long Stay"))</f>
        <v>Short Stay</v>
      </c>
    </row>
    <row r="446" spans="1:19" x14ac:dyDescent="0.35">
      <c r="A446" t="s">
        <v>680</v>
      </c>
      <c r="B446" t="s">
        <v>359</v>
      </c>
      <c r="C446" t="s">
        <v>25</v>
      </c>
      <c r="D446">
        <v>42.653409670923601</v>
      </c>
      <c r="E446">
        <v>-73.767911944184902</v>
      </c>
      <c r="F446" t="s">
        <v>22</v>
      </c>
      <c r="G446">
        <v>124</v>
      </c>
      <c r="H446">
        <v>2</v>
      </c>
      <c r="I446">
        <v>4</v>
      </c>
      <c r="J446" s="1">
        <v>46168</v>
      </c>
      <c r="K446">
        <v>2.73</v>
      </c>
      <c r="L446">
        <v>8</v>
      </c>
      <c r="M446">
        <v>244</v>
      </c>
      <c r="N446">
        <v>4</v>
      </c>
      <c r="O446" t="str">
        <f t="shared" si="12"/>
        <v>101-200</v>
      </c>
      <c r="P446" t="str">
        <f>IF(airbnb_data3[[#This Row],[price]]&lt;=100,"Budget",
IF(airbnb_data3[[#This Row],[price]]&lt;=200,"Mid-range",
IF(airbnb_data3[[#This Row],[price]]&lt;=300,"Premium","Luxury")))</f>
        <v>Mid-range</v>
      </c>
      <c r="Q446" t="str">
        <f>IF(airbnb_data3[[#This Row],[availability_365]]&lt;=120,"Low Availability",IF(airbnb_data3[[#This Row],[availability_365]]&lt;=240,"Medium Availability","High Availability"))</f>
        <v>High Availability</v>
      </c>
      <c r="R446" s="6" t="str">
        <f t="shared" si="13"/>
        <v>Medium</v>
      </c>
      <c r="S446" s="6" t="str">
        <f>IF(airbnb_data3[[#This Row],[minimum_nights]]&lt;=3,"Short Stay",IF(airbnb_data3[[#This Row],[minimum_nights]]&lt;=7,"Medium Stay","Long Stay"))</f>
        <v>Short Stay</v>
      </c>
    </row>
    <row r="447" spans="1:19" x14ac:dyDescent="0.35">
      <c r="A447" t="s">
        <v>681</v>
      </c>
      <c r="B447" t="s">
        <v>182</v>
      </c>
      <c r="C447" t="s">
        <v>25</v>
      </c>
      <c r="D447">
        <v>42.653632500000001</v>
      </c>
      <c r="E447">
        <v>-73.770234799999997</v>
      </c>
      <c r="F447" t="s">
        <v>22</v>
      </c>
      <c r="G447">
        <v>208</v>
      </c>
      <c r="H447">
        <v>1</v>
      </c>
      <c r="I447">
        <v>1</v>
      </c>
      <c r="J447" s="1">
        <v>46179</v>
      </c>
      <c r="K447">
        <v>1</v>
      </c>
      <c r="L447">
        <v>16</v>
      </c>
      <c r="M447">
        <v>351</v>
      </c>
      <c r="N447">
        <v>1</v>
      </c>
      <c r="O447" t="str">
        <f t="shared" si="12"/>
        <v>201-300</v>
      </c>
      <c r="P447" t="str">
        <f>IF(airbnb_data3[[#This Row],[price]]&lt;=100,"Budget",
IF(airbnb_data3[[#This Row],[price]]&lt;=200,"Mid-range",
IF(airbnb_data3[[#This Row],[price]]&lt;=300,"Premium","Luxury")))</f>
        <v>Premium</v>
      </c>
      <c r="Q447" t="str">
        <f>IF(airbnb_data3[[#This Row],[availability_365]]&lt;=120,"Low Availability",IF(airbnb_data3[[#This Row],[availability_365]]&lt;=240,"Medium Availability","High Availability"))</f>
        <v>High Availability</v>
      </c>
      <c r="R447" s="6" t="str">
        <f t="shared" si="13"/>
        <v>Medium</v>
      </c>
      <c r="S447" s="6" t="str">
        <f>IF(airbnb_data3[[#This Row],[minimum_nights]]&lt;=3,"Short Stay",IF(airbnb_data3[[#This Row],[minimum_nights]]&lt;=7,"Medium Stay","Long Stay"))</f>
        <v>Short Stay</v>
      </c>
    </row>
    <row r="448" spans="1:19" x14ac:dyDescent="0.35">
      <c r="A448" t="s">
        <v>682</v>
      </c>
      <c r="B448" t="s">
        <v>683</v>
      </c>
      <c r="C448" t="s">
        <v>40</v>
      </c>
      <c r="D448">
        <v>42.667479999999998</v>
      </c>
      <c r="E448">
        <v>-73.776809999999998</v>
      </c>
      <c r="F448" t="s">
        <v>31</v>
      </c>
      <c r="G448">
        <v>42</v>
      </c>
      <c r="H448">
        <v>30</v>
      </c>
      <c r="I448">
        <v>0</v>
      </c>
      <c r="K448">
        <v>0</v>
      </c>
      <c r="L448">
        <v>1</v>
      </c>
      <c r="M448">
        <v>163</v>
      </c>
      <c r="N448">
        <v>0</v>
      </c>
      <c r="O448" t="str">
        <f t="shared" si="12"/>
        <v>0-100</v>
      </c>
      <c r="P448" t="str">
        <f>IF(airbnb_data3[[#This Row],[price]]&lt;=100,"Budget",
IF(airbnb_data3[[#This Row],[price]]&lt;=200,"Mid-range",
IF(airbnb_data3[[#This Row],[price]]&lt;=300,"Premium","Luxury")))</f>
        <v>Budget</v>
      </c>
      <c r="Q448" t="str">
        <f>IF(airbnb_data3[[#This Row],[availability_365]]&lt;=120,"Low Availability",IF(airbnb_data3[[#This Row],[availability_365]]&lt;=240,"Medium Availability","High Availability"))</f>
        <v>Medium Availability</v>
      </c>
      <c r="R448" s="6" t="str">
        <f t="shared" si="13"/>
        <v>Medium</v>
      </c>
      <c r="S448" s="6" t="str">
        <f>IF(airbnb_data3[[#This Row],[minimum_nights]]&lt;=3,"Short Stay",IF(airbnb_data3[[#This Row],[minimum_nights]]&lt;=7,"Medium Stay","Long Stay"))</f>
        <v>Long Stay</v>
      </c>
    </row>
    <row r="449" spans="1:19" x14ac:dyDescent="0.35">
      <c r="A449" t="s">
        <v>684</v>
      </c>
      <c r="B449" t="s">
        <v>685</v>
      </c>
      <c r="C449" t="s">
        <v>117</v>
      </c>
      <c r="D449">
        <v>42.637875800000003</v>
      </c>
      <c r="E449">
        <v>-73.759429299999994</v>
      </c>
      <c r="F449" t="s">
        <v>22</v>
      </c>
      <c r="G449">
        <v>224</v>
      </c>
      <c r="H449">
        <v>1</v>
      </c>
      <c r="I449">
        <v>2</v>
      </c>
      <c r="J449" s="1">
        <v>46180</v>
      </c>
      <c r="K449">
        <v>2</v>
      </c>
      <c r="L449">
        <v>1</v>
      </c>
      <c r="M449">
        <v>362</v>
      </c>
      <c r="N449">
        <v>2</v>
      </c>
      <c r="O449" t="str">
        <f t="shared" si="12"/>
        <v>201-300</v>
      </c>
      <c r="P449" t="str">
        <f>IF(airbnb_data3[[#This Row],[price]]&lt;=100,"Budget",
IF(airbnb_data3[[#This Row],[price]]&lt;=200,"Mid-range",
IF(airbnb_data3[[#This Row],[price]]&lt;=300,"Premium","Luxury")))</f>
        <v>Premium</v>
      </c>
      <c r="Q449" t="str">
        <f>IF(airbnb_data3[[#This Row],[availability_365]]&lt;=120,"Low Availability",IF(airbnb_data3[[#This Row],[availability_365]]&lt;=240,"Medium Availability","High Availability"))</f>
        <v>High Availability</v>
      </c>
      <c r="R449" s="6" t="str">
        <f t="shared" si="13"/>
        <v>Medium</v>
      </c>
      <c r="S449" s="6" t="str">
        <f>IF(airbnb_data3[[#This Row],[minimum_nights]]&lt;=3,"Short Stay",IF(airbnb_data3[[#This Row],[minimum_nights]]&lt;=7,"Medium Stay","Long Stay"))</f>
        <v>Short Stay</v>
      </c>
    </row>
    <row r="450" spans="1:19" x14ac:dyDescent="0.35">
      <c r="A450" t="s">
        <v>686</v>
      </c>
      <c r="B450" t="s">
        <v>504</v>
      </c>
      <c r="C450" t="s">
        <v>40</v>
      </c>
      <c r="D450">
        <v>42.680140000000002</v>
      </c>
      <c r="E450">
        <v>-73.784379999999999</v>
      </c>
      <c r="F450" t="s">
        <v>22</v>
      </c>
      <c r="G450">
        <v>96</v>
      </c>
      <c r="H450">
        <v>1</v>
      </c>
      <c r="I450">
        <v>3</v>
      </c>
      <c r="J450" s="1">
        <v>46171</v>
      </c>
      <c r="K450">
        <v>2.73</v>
      </c>
      <c r="L450">
        <v>29</v>
      </c>
      <c r="M450">
        <v>362</v>
      </c>
      <c r="N450">
        <v>3</v>
      </c>
      <c r="O450" t="str">
        <f t="shared" ref="O450:O459" si="14">IF(G450&lt;=100,"0-100",
IF(G450&lt;=200,"101-200",
IF(G450&lt;=300,"201-300",
IF(G450&lt;=500,"301-500","500+"))))</f>
        <v>0-100</v>
      </c>
      <c r="P450" t="str">
        <f>IF(airbnb_data3[[#This Row],[price]]&lt;=100,"Budget",
IF(airbnb_data3[[#This Row],[price]]&lt;=200,"Mid-range",
IF(airbnb_data3[[#This Row],[price]]&lt;=300,"Premium","Luxury")))</f>
        <v>Budget</v>
      </c>
      <c r="Q450" t="str">
        <f>IF(airbnb_data3[[#This Row],[availability_365]]&lt;=120,"Low Availability",IF(airbnb_data3[[#This Row],[availability_365]]&lt;=240,"Medium Availability","High Availability"))</f>
        <v>High Availability</v>
      </c>
      <c r="R450" s="6" t="str">
        <f t="shared" ref="R450:R459" si="15">IF(R451&lt;=25,"Low",IF(I452&lt;=100,"Medium","High"))</f>
        <v>Medium</v>
      </c>
      <c r="S450" s="6" t="str">
        <f>IF(airbnb_data3[[#This Row],[minimum_nights]]&lt;=3,"Short Stay",IF(airbnb_data3[[#This Row],[minimum_nights]]&lt;=7,"Medium Stay","Long Stay"))</f>
        <v>Short Stay</v>
      </c>
    </row>
    <row r="451" spans="1:19" x14ac:dyDescent="0.35">
      <c r="A451" t="s">
        <v>687</v>
      </c>
      <c r="B451" t="s">
        <v>504</v>
      </c>
      <c r="C451" t="s">
        <v>40</v>
      </c>
      <c r="D451">
        <v>42.681399999999996</v>
      </c>
      <c r="E451">
        <v>-73.784300000000002</v>
      </c>
      <c r="F451" t="s">
        <v>22</v>
      </c>
      <c r="G451">
        <v>97</v>
      </c>
      <c r="H451">
        <v>1</v>
      </c>
      <c r="I451">
        <v>1</v>
      </c>
      <c r="J451" s="1">
        <v>46159</v>
      </c>
      <c r="K451">
        <v>1</v>
      </c>
      <c r="L451">
        <v>29</v>
      </c>
      <c r="M451">
        <v>364</v>
      </c>
      <c r="N451">
        <v>1</v>
      </c>
      <c r="O451" t="str">
        <f t="shared" si="14"/>
        <v>0-100</v>
      </c>
      <c r="P451" t="str">
        <f>IF(airbnb_data3[[#This Row],[price]]&lt;=100,"Budget",
IF(airbnb_data3[[#This Row],[price]]&lt;=200,"Mid-range",
IF(airbnb_data3[[#This Row],[price]]&lt;=300,"Premium","Luxury")))</f>
        <v>Budget</v>
      </c>
      <c r="Q451" t="str">
        <f>IF(airbnb_data3[[#This Row],[availability_365]]&lt;=120,"Low Availability",IF(airbnb_data3[[#This Row],[availability_365]]&lt;=240,"Medium Availability","High Availability"))</f>
        <v>High Availability</v>
      </c>
      <c r="R451" s="6" t="str">
        <f t="shared" si="15"/>
        <v>Medium</v>
      </c>
      <c r="S451" s="6" t="str">
        <f>IF(airbnb_data3[[#This Row],[minimum_nights]]&lt;=3,"Short Stay",IF(airbnb_data3[[#This Row],[minimum_nights]]&lt;=7,"Medium Stay","Long Stay"))</f>
        <v>Short Stay</v>
      </c>
    </row>
    <row r="452" spans="1:19" x14ac:dyDescent="0.35">
      <c r="A452" t="s">
        <v>688</v>
      </c>
      <c r="B452" t="s">
        <v>504</v>
      </c>
      <c r="C452" t="s">
        <v>40</v>
      </c>
      <c r="D452">
        <v>42.680329999999998</v>
      </c>
      <c r="E452">
        <v>-73.784109999999998</v>
      </c>
      <c r="F452" t="s">
        <v>22</v>
      </c>
      <c r="G452">
        <v>91</v>
      </c>
      <c r="H452">
        <v>1</v>
      </c>
      <c r="I452">
        <v>0</v>
      </c>
      <c r="K452">
        <v>0</v>
      </c>
      <c r="L452">
        <v>29</v>
      </c>
      <c r="M452">
        <v>358</v>
      </c>
      <c r="N452">
        <v>0</v>
      </c>
      <c r="O452" t="str">
        <f t="shared" si="14"/>
        <v>0-100</v>
      </c>
      <c r="P452" t="str">
        <f>IF(airbnb_data3[[#This Row],[price]]&lt;=100,"Budget",
IF(airbnb_data3[[#This Row],[price]]&lt;=200,"Mid-range",
IF(airbnb_data3[[#This Row],[price]]&lt;=300,"Premium","Luxury")))</f>
        <v>Budget</v>
      </c>
      <c r="Q452" t="str">
        <f>IF(airbnb_data3[[#This Row],[availability_365]]&lt;=120,"Low Availability",IF(airbnb_data3[[#This Row],[availability_365]]&lt;=240,"Medium Availability","High Availability"))</f>
        <v>High Availability</v>
      </c>
      <c r="R452" s="6" t="str">
        <f t="shared" si="15"/>
        <v>Medium</v>
      </c>
      <c r="S452" s="6" t="str">
        <f>IF(airbnb_data3[[#This Row],[minimum_nights]]&lt;=3,"Short Stay",IF(airbnb_data3[[#This Row],[minimum_nights]]&lt;=7,"Medium Stay","Long Stay"))</f>
        <v>Short Stay</v>
      </c>
    </row>
    <row r="453" spans="1:19" x14ac:dyDescent="0.35">
      <c r="A453" t="s">
        <v>689</v>
      </c>
      <c r="B453" t="s">
        <v>605</v>
      </c>
      <c r="C453" t="s">
        <v>34</v>
      </c>
      <c r="D453">
        <v>42.658830000000002</v>
      </c>
      <c r="E453">
        <v>-73.80162</v>
      </c>
      <c r="F453" t="s">
        <v>22</v>
      </c>
      <c r="G453">
        <v>200</v>
      </c>
      <c r="H453">
        <v>1</v>
      </c>
      <c r="I453">
        <v>0</v>
      </c>
      <c r="K453">
        <v>0</v>
      </c>
      <c r="L453">
        <v>2</v>
      </c>
      <c r="M453">
        <v>361</v>
      </c>
      <c r="N453">
        <v>0</v>
      </c>
      <c r="O453" t="str">
        <f t="shared" si="14"/>
        <v>101-200</v>
      </c>
      <c r="P453" t="str">
        <f>IF(airbnb_data3[[#This Row],[price]]&lt;=100,"Budget",
IF(airbnb_data3[[#This Row],[price]]&lt;=200,"Mid-range",
IF(airbnb_data3[[#This Row],[price]]&lt;=300,"Premium","Luxury")))</f>
        <v>Mid-range</v>
      </c>
      <c r="Q453" t="str">
        <f>IF(airbnb_data3[[#This Row],[availability_365]]&lt;=120,"Low Availability",IF(airbnb_data3[[#This Row],[availability_365]]&lt;=240,"Medium Availability","High Availability"))</f>
        <v>High Availability</v>
      </c>
      <c r="R453" s="6" t="str">
        <f t="shared" si="15"/>
        <v>Medium</v>
      </c>
      <c r="S453" s="6" t="str">
        <f>IF(airbnb_data3[[#This Row],[minimum_nights]]&lt;=3,"Short Stay",IF(airbnb_data3[[#This Row],[minimum_nights]]&lt;=7,"Medium Stay","Long Stay"))</f>
        <v>Short Stay</v>
      </c>
    </row>
    <row r="454" spans="1:19" x14ac:dyDescent="0.35">
      <c r="A454" t="s">
        <v>690</v>
      </c>
      <c r="B454" t="s">
        <v>524</v>
      </c>
      <c r="C454" t="s">
        <v>25</v>
      </c>
      <c r="D454">
        <v>42.652929999999998</v>
      </c>
      <c r="E454">
        <v>-73.766739999999999</v>
      </c>
      <c r="F454" t="s">
        <v>22</v>
      </c>
      <c r="G454">
        <v>206</v>
      </c>
      <c r="H454">
        <v>1</v>
      </c>
      <c r="I454">
        <v>4</v>
      </c>
      <c r="J454" s="1">
        <v>46181</v>
      </c>
      <c r="K454">
        <v>3.64</v>
      </c>
      <c r="L454">
        <v>2</v>
      </c>
      <c r="M454">
        <v>209</v>
      </c>
      <c r="N454">
        <v>4</v>
      </c>
      <c r="O454" t="str">
        <f t="shared" si="14"/>
        <v>201-300</v>
      </c>
      <c r="P454" t="str">
        <f>IF(airbnb_data3[[#This Row],[price]]&lt;=100,"Budget",
IF(airbnb_data3[[#This Row],[price]]&lt;=200,"Mid-range",
IF(airbnb_data3[[#This Row],[price]]&lt;=300,"Premium","Luxury")))</f>
        <v>Premium</v>
      </c>
      <c r="Q454" t="str">
        <f>IF(airbnb_data3[[#This Row],[availability_365]]&lt;=120,"Low Availability",IF(airbnb_data3[[#This Row],[availability_365]]&lt;=240,"Medium Availability","High Availability"))</f>
        <v>Medium Availability</v>
      </c>
      <c r="R454" s="6" t="str">
        <f t="shared" si="15"/>
        <v>Medium</v>
      </c>
      <c r="S454" s="6" t="str">
        <f>IF(airbnb_data3[[#This Row],[minimum_nights]]&lt;=3,"Short Stay",IF(airbnb_data3[[#This Row],[minimum_nights]]&lt;=7,"Medium Stay","Long Stay"))</f>
        <v>Short Stay</v>
      </c>
    </row>
    <row r="455" spans="1:19" x14ac:dyDescent="0.35">
      <c r="A455" t="s">
        <v>691</v>
      </c>
      <c r="B455" t="s">
        <v>281</v>
      </c>
      <c r="C455" t="s">
        <v>47</v>
      </c>
      <c r="D455">
        <v>42.660960000000003</v>
      </c>
      <c r="E455">
        <v>-73.775850000000005</v>
      </c>
      <c r="F455" t="s">
        <v>22</v>
      </c>
      <c r="G455">
        <v>149</v>
      </c>
      <c r="H455">
        <v>1</v>
      </c>
      <c r="I455">
        <v>0</v>
      </c>
      <c r="K455">
        <v>0</v>
      </c>
      <c r="L455">
        <v>2</v>
      </c>
      <c r="M455">
        <v>193</v>
      </c>
      <c r="N455">
        <v>0</v>
      </c>
      <c r="O455" t="str">
        <f t="shared" si="14"/>
        <v>101-200</v>
      </c>
      <c r="P455" t="str">
        <f>IF(airbnb_data3[[#This Row],[price]]&lt;=100,"Budget",
IF(airbnb_data3[[#This Row],[price]]&lt;=200,"Mid-range",
IF(airbnb_data3[[#This Row],[price]]&lt;=300,"Premium","Luxury")))</f>
        <v>Mid-range</v>
      </c>
      <c r="Q455" t="str">
        <f>IF(airbnb_data3[[#This Row],[availability_365]]&lt;=120,"Low Availability",IF(airbnb_data3[[#This Row],[availability_365]]&lt;=240,"Medium Availability","High Availability"))</f>
        <v>Medium Availability</v>
      </c>
      <c r="R455" s="6" t="str">
        <f t="shared" si="15"/>
        <v>Medium</v>
      </c>
      <c r="S455" s="6" t="str">
        <f>IF(airbnb_data3[[#This Row],[minimum_nights]]&lt;=3,"Short Stay",IF(airbnb_data3[[#This Row],[minimum_nights]]&lt;=7,"Medium Stay","Long Stay"))</f>
        <v>Short Stay</v>
      </c>
    </row>
    <row r="456" spans="1:19" x14ac:dyDescent="0.35">
      <c r="A456" t="s">
        <v>692</v>
      </c>
      <c r="B456" t="s">
        <v>136</v>
      </c>
      <c r="C456" t="s">
        <v>25</v>
      </c>
      <c r="D456">
        <v>42.6512308</v>
      </c>
      <c r="E456">
        <v>-73.762446299999993</v>
      </c>
      <c r="F456" t="s">
        <v>22</v>
      </c>
      <c r="G456">
        <v>213</v>
      </c>
      <c r="H456">
        <v>1</v>
      </c>
      <c r="I456">
        <v>0</v>
      </c>
      <c r="K456">
        <v>0</v>
      </c>
      <c r="L456">
        <v>1</v>
      </c>
      <c r="M456">
        <v>319</v>
      </c>
      <c r="N456">
        <v>0</v>
      </c>
      <c r="O456" t="str">
        <f t="shared" si="14"/>
        <v>201-300</v>
      </c>
      <c r="P456" t="str">
        <f>IF(airbnb_data3[[#This Row],[price]]&lt;=100,"Budget",
IF(airbnb_data3[[#This Row],[price]]&lt;=200,"Mid-range",
IF(airbnb_data3[[#This Row],[price]]&lt;=300,"Premium","Luxury")))</f>
        <v>Premium</v>
      </c>
      <c r="Q456" t="str">
        <f>IF(airbnb_data3[[#This Row],[availability_365]]&lt;=120,"Low Availability",IF(airbnb_data3[[#This Row],[availability_365]]&lt;=240,"Medium Availability","High Availability"))</f>
        <v>High Availability</v>
      </c>
      <c r="R456" s="6" t="str">
        <f t="shared" si="15"/>
        <v>Medium</v>
      </c>
      <c r="S456" s="6" t="str">
        <f>IF(airbnb_data3[[#This Row],[minimum_nights]]&lt;=3,"Short Stay",IF(airbnb_data3[[#This Row],[minimum_nights]]&lt;=7,"Medium Stay","Long Stay"))</f>
        <v>Short Stay</v>
      </c>
    </row>
    <row r="457" spans="1:19" x14ac:dyDescent="0.35">
      <c r="A457" t="s">
        <v>693</v>
      </c>
      <c r="B457" t="s">
        <v>399</v>
      </c>
      <c r="C457" t="s">
        <v>25</v>
      </c>
      <c r="D457">
        <v>42.653849800000003</v>
      </c>
      <c r="E457">
        <v>-73.77216</v>
      </c>
      <c r="F457" t="s">
        <v>31</v>
      </c>
      <c r="G457">
        <v>115</v>
      </c>
      <c r="H457">
        <v>2</v>
      </c>
      <c r="I457">
        <v>0</v>
      </c>
      <c r="K457">
        <v>0</v>
      </c>
      <c r="L457">
        <v>6</v>
      </c>
      <c r="M457">
        <v>359</v>
      </c>
      <c r="N457">
        <v>0</v>
      </c>
      <c r="O457" t="str">
        <f t="shared" si="14"/>
        <v>101-200</v>
      </c>
      <c r="P457" t="str">
        <f>IF(airbnb_data3[[#This Row],[price]]&lt;=100,"Budget",
IF(airbnb_data3[[#This Row],[price]]&lt;=200,"Mid-range",
IF(airbnb_data3[[#This Row],[price]]&lt;=300,"Premium","Luxury")))</f>
        <v>Mid-range</v>
      </c>
      <c r="Q457" t="str">
        <f>IF(airbnb_data3[[#This Row],[availability_365]]&lt;=120,"Low Availability",IF(airbnb_data3[[#This Row],[availability_365]]&lt;=240,"Medium Availability","High Availability"))</f>
        <v>High Availability</v>
      </c>
      <c r="R457" s="6" t="str">
        <f t="shared" si="15"/>
        <v>Medium</v>
      </c>
      <c r="S457" s="6" t="str">
        <f>IF(airbnb_data3[[#This Row],[minimum_nights]]&lt;=3,"Short Stay",IF(airbnb_data3[[#This Row],[minimum_nights]]&lt;=7,"Medium Stay","Long Stay"))</f>
        <v>Short Stay</v>
      </c>
    </row>
    <row r="458" spans="1:19" x14ac:dyDescent="0.35">
      <c r="A458" t="s">
        <v>694</v>
      </c>
      <c r="B458" t="s">
        <v>399</v>
      </c>
      <c r="C458" t="s">
        <v>25</v>
      </c>
      <c r="D458">
        <v>42.653849800000003</v>
      </c>
      <c r="E458">
        <v>-73.77216</v>
      </c>
      <c r="F458" t="s">
        <v>31</v>
      </c>
      <c r="G458">
        <v>86</v>
      </c>
      <c r="H458">
        <v>2</v>
      </c>
      <c r="I458">
        <v>0</v>
      </c>
      <c r="K458">
        <v>0</v>
      </c>
      <c r="L458">
        <v>6</v>
      </c>
      <c r="M458">
        <v>362</v>
      </c>
      <c r="N458">
        <v>0</v>
      </c>
      <c r="O458" t="str">
        <f t="shared" si="14"/>
        <v>0-100</v>
      </c>
      <c r="P458" t="str">
        <f>IF(airbnb_data3[[#This Row],[price]]&lt;=100,"Budget",
IF(airbnb_data3[[#This Row],[price]]&lt;=200,"Mid-range",
IF(airbnb_data3[[#This Row],[price]]&lt;=300,"Premium","Luxury")))</f>
        <v>Budget</v>
      </c>
      <c r="Q458" t="str">
        <f>IF(airbnb_data3[[#This Row],[availability_365]]&lt;=120,"Low Availability",IF(airbnb_data3[[#This Row],[availability_365]]&lt;=240,"Medium Availability","High Availability"))</f>
        <v>High Availability</v>
      </c>
      <c r="R458" s="6" t="str">
        <f t="shared" si="15"/>
        <v>Medium</v>
      </c>
      <c r="S458" s="6" t="str">
        <f>IF(airbnb_data3[[#This Row],[minimum_nights]]&lt;=3,"Short Stay",IF(airbnb_data3[[#This Row],[minimum_nights]]&lt;=7,"Medium Stay","Long Stay"))</f>
        <v>Short Stay</v>
      </c>
    </row>
    <row r="459" spans="1:19" x14ac:dyDescent="0.35">
      <c r="A459" t="s">
        <v>695</v>
      </c>
      <c r="B459" t="s">
        <v>426</v>
      </c>
      <c r="C459" t="s">
        <v>21</v>
      </c>
      <c r="D459">
        <v>42.663146039006499</v>
      </c>
      <c r="E459">
        <v>-73.768458249441807</v>
      </c>
      <c r="F459" t="s">
        <v>31</v>
      </c>
      <c r="G459">
        <v>45</v>
      </c>
      <c r="H459">
        <v>28</v>
      </c>
      <c r="I459">
        <v>0</v>
      </c>
      <c r="K459">
        <v>0</v>
      </c>
      <c r="L459">
        <v>8</v>
      </c>
      <c r="M459">
        <v>365</v>
      </c>
      <c r="N459">
        <v>0</v>
      </c>
      <c r="O459" t="str">
        <f t="shared" si="14"/>
        <v>0-100</v>
      </c>
      <c r="P459" t="str">
        <f>IF(airbnb_data3[[#This Row],[price]]&lt;=100,"Budget",
IF(airbnb_data3[[#This Row],[price]]&lt;=200,"Mid-range",
IF(airbnb_data3[[#This Row],[price]]&lt;=300,"Premium","Luxury")))</f>
        <v>Budget</v>
      </c>
      <c r="Q459" t="str">
        <f>IF(airbnb_data3[[#This Row],[availability_365]]&lt;=120,"Low Availability",IF(airbnb_data3[[#This Row],[availability_365]]&lt;=240,"Medium Availability","High Availability"))</f>
        <v>High Availability</v>
      </c>
      <c r="R459" s="6" t="str">
        <f t="shared" si="15"/>
        <v>Low</v>
      </c>
      <c r="S459" s="6" t="str">
        <f>IF(airbnb_data3[[#This Row],[minimum_nights]]&lt;=3,"Short Stay",IF(airbnb_data3[[#This Row],[minimum_nights]]&lt;=7,"Medium Stay","Long Stay"))</f>
        <v>Long Stay</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28690-1386-4E97-B690-579990EEFFF5}">
  <dimension ref="A1:L40"/>
  <sheetViews>
    <sheetView showGridLines="0" tabSelected="1" zoomScale="59" zoomScaleNormal="100" workbookViewId="0">
      <selection activeCell="J5" sqref="J5"/>
    </sheetView>
  </sheetViews>
  <sheetFormatPr defaultColWidth="15.58203125" defaultRowHeight="25" customHeight="1" x14ac:dyDescent="0.35"/>
  <cols>
    <col min="1" max="1" width="17.5" style="21" bestFit="1" customWidth="1"/>
    <col min="2" max="2" width="16.08203125" style="21" bestFit="1" customWidth="1"/>
    <col min="3" max="3" width="10" style="21" bestFit="1" customWidth="1"/>
    <col min="4" max="4" width="11" style="21" bestFit="1" customWidth="1"/>
    <col min="5" max="5" width="11.1640625" style="21" bestFit="1" customWidth="1"/>
    <col min="6" max="8" width="15.58203125" style="21"/>
  </cols>
  <sheetData>
    <row r="1" spans="1:11" ht="25" customHeight="1" x14ac:dyDescent="0.35">
      <c r="A1" s="35" t="s">
        <v>757</v>
      </c>
      <c r="B1" s="35"/>
      <c r="C1" s="35"/>
      <c r="D1" s="35"/>
      <c r="E1" s="35"/>
      <c r="F1" s="35"/>
      <c r="G1" s="35"/>
      <c r="H1" s="35"/>
      <c r="I1" s="35"/>
      <c r="J1" s="35"/>
    </row>
    <row r="2" spans="1:11" ht="25" customHeight="1" x14ac:dyDescent="0.35">
      <c r="A2" s="35"/>
      <c r="B2" s="35"/>
      <c r="C2" s="35"/>
      <c r="D2" s="35"/>
      <c r="E2" s="35"/>
      <c r="F2" s="35"/>
      <c r="G2" s="35"/>
      <c r="H2" s="35"/>
      <c r="I2" s="35"/>
      <c r="J2" s="35"/>
    </row>
    <row r="4" spans="1:11" ht="25" customHeight="1" x14ac:dyDescent="0.35">
      <c r="A4" s="32" t="s">
        <v>758</v>
      </c>
      <c r="B4" s="33"/>
      <c r="C4" s="32" t="s">
        <v>718</v>
      </c>
      <c r="D4" s="33"/>
      <c r="E4" s="32" t="s">
        <v>720</v>
      </c>
      <c r="F4" s="33"/>
      <c r="G4" s="32" t="s">
        <v>721</v>
      </c>
      <c r="H4" s="33"/>
    </row>
    <row r="5" spans="1:11" ht="25" customHeight="1" x14ac:dyDescent="0.35">
      <c r="A5" s="36">
        <v>458</v>
      </c>
      <c r="B5" s="36"/>
      <c r="C5" s="34">
        <v>177.18</v>
      </c>
      <c r="D5" s="34"/>
      <c r="E5" s="34">
        <v>61.08</v>
      </c>
      <c r="F5" s="34"/>
      <c r="G5" s="34">
        <v>252.94</v>
      </c>
      <c r="H5" s="34"/>
    </row>
    <row r="6" spans="1:11" ht="25" customHeight="1" x14ac:dyDescent="0.35">
      <c r="A6" s="36"/>
      <c r="B6" s="36"/>
      <c r="C6" s="34"/>
      <c r="D6" s="34"/>
      <c r="E6" s="34"/>
      <c r="F6" s="34"/>
      <c r="G6" s="34"/>
      <c r="H6" s="34"/>
    </row>
    <row r="7" spans="1:11" ht="25" customHeight="1" x14ac:dyDescent="0.35">
      <c r="A7" s="23"/>
      <c r="B7" s="23"/>
      <c r="C7" s="22"/>
    </row>
    <row r="11" spans="1:11" ht="25" customHeight="1" x14ac:dyDescent="0.35">
      <c r="K11" s="20"/>
    </row>
    <row r="18" spans="1:12" ht="25" customHeight="1" x14ac:dyDescent="0.35">
      <c r="A18"/>
      <c r="B18"/>
      <c r="C18"/>
      <c r="D18"/>
      <c r="E18"/>
    </row>
    <row r="19" spans="1:12" ht="25" customHeight="1" x14ac:dyDescent="0.35">
      <c r="A19" s="4" t="s">
        <v>750</v>
      </c>
      <c r="B19" s="4" t="s">
        <v>751</v>
      </c>
      <c r="C19"/>
      <c r="D19"/>
      <c r="E19"/>
    </row>
    <row r="20" spans="1:12" ht="25" customHeight="1" x14ac:dyDescent="0.35">
      <c r="A20" s="4" t="s">
        <v>737</v>
      </c>
      <c r="B20" t="s">
        <v>22</v>
      </c>
      <c r="C20" t="s">
        <v>537</v>
      </c>
      <c r="D20" t="s">
        <v>31</v>
      </c>
      <c r="E20" t="s">
        <v>244</v>
      </c>
    </row>
    <row r="21" spans="1:12" ht="25" customHeight="1" x14ac:dyDescent="0.35">
      <c r="A21" s="5" t="s">
        <v>84</v>
      </c>
      <c r="B21" s="6">
        <v>2705</v>
      </c>
      <c r="C21" s="6"/>
      <c r="D21" s="6">
        <v>75</v>
      </c>
      <c r="E21" s="6"/>
    </row>
    <row r="22" spans="1:12" ht="25" customHeight="1" x14ac:dyDescent="0.35">
      <c r="A22" s="5" t="s">
        <v>40</v>
      </c>
      <c r="B22" s="6">
        <v>2247</v>
      </c>
      <c r="C22" s="6"/>
      <c r="D22" s="6">
        <v>431</v>
      </c>
      <c r="E22" s="6"/>
      <c r="F22"/>
    </row>
    <row r="23" spans="1:12" ht="25" customHeight="1" x14ac:dyDescent="0.35">
      <c r="A23" s="5" t="s">
        <v>37</v>
      </c>
      <c r="B23" s="6">
        <v>4753</v>
      </c>
      <c r="C23" s="6"/>
      <c r="D23" s="6">
        <v>96</v>
      </c>
      <c r="E23" s="6"/>
      <c r="F23"/>
    </row>
    <row r="24" spans="1:12" ht="25" customHeight="1" x14ac:dyDescent="0.35">
      <c r="A24" s="5" t="s">
        <v>54</v>
      </c>
      <c r="B24" s="6">
        <v>1205</v>
      </c>
      <c r="C24" s="6"/>
      <c r="D24" s="6">
        <v>168</v>
      </c>
      <c r="E24" s="6"/>
      <c r="F24"/>
    </row>
    <row r="25" spans="1:12" ht="25" customHeight="1" x14ac:dyDescent="0.35">
      <c r="A25" s="5" t="s">
        <v>117</v>
      </c>
      <c r="B25" s="6">
        <v>2287</v>
      </c>
      <c r="C25" s="6"/>
      <c r="D25" s="6"/>
      <c r="E25" s="6"/>
      <c r="F25"/>
    </row>
    <row r="26" spans="1:12" ht="25" customHeight="1" x14ac:dyDescent="0.35">
      <c r="A26" s="5" t="s">
        <v>34</v>
      </c>
      <c r="B26" s="6">
        <v>5286</v>
      </c>
      <c r="C26" s="6"/>
      <c r="D26" s="6">
        <v>760</v>
      </c>
      <c r="E26" s="6"/>
      <c r="F26"/>
    </row>
    <row r="27" spans="1:12" ht="25" customHeight="1" x14ac:dyDescent="0.35">
      <c r="A27" s="5" t="s">
        <v>91</v>
      </c>
      <c r="B27" s="6">
        <v>2507</v>
      </c>
      <c r="C27" s="6"/>
      <c r="D27" s="6">
        <v>398</v>
      </c>
      <c r="E27" s="6"/>
      <c r="F27"/>
    </row>
    <row r="28" spans="1:12" ht="25" customHeight="1" x14ac:dyDescent="0.35">
      <c r="A28" s="5" t="s">
        <v>51</v>
      </c>
      <c r="B28" s="6">
        <v>3683</v>
      </c>
      <c r="C28" s="6"/>
      <c r="D28" s="6">
        <v>1960</v>
      </c>
      <c r="E28" s="6">
        <v>840</v>
      </c>
      <c r="F28"/>
    </row>
    <row r="29" spans="1:12" ht="25" customHeight="1" x14ac:dyDescent="0.35">
      <c r="A29" s="5" t="s">
        <v>28</v>
      </c>
      <c r="B29" s="6">
        <v>8579</v>
      </c>
      <c r="C29" s="6"/>
      <c r="D29" s="6">
        <v>367</v>
      </c>
      <c r="E29" s="6"/>
      <c r="F29"/>
    </row>
    <row r="30" spans="1:12" ht="25" customHeight="1" x14ac:dyDescent="0.35">
      <c r="A30" s="5" t="s">
        <v>64</v>
      </c>
      <c r="B30" s="6">
        <v>3073</v>
      </c>
      <c r="C30" s="6"/>
      <c r="D30" s="6">
        <v>195</v>
      </c>
      <c r="E30" s="6"/>
      <c r="F30"/>
      <c r="L30" s="24"/>
    </row>
    <row r="31" spans="1:12" ht="25" customHeight="1" x14ac:dyDescent="0.35">
      <c r="A31" s="5" t="s">
        <v>25</v>
      </c>
      <c r="B31" s="6">
        <v>15498</v>
      </c>
      <c r="C31" s="6"/>
      <c r="D31" s="6">
        <v>2440</v>
      </c>
      <c r="E31" s="6"/>
      <c r="F31"/>
    </row>
    <row r="32" spans="1:12" ht="25" customHeight="1" x14ac:dyDescent="0.35">
      <c r="A32" s="5" t="s">
        <v>47</v>
      </c>
      <c r="B32" s="6">
        <v>5012</v>
      </c>
      <c r="C32" s="6"/>
      <c r="D32" s="6">
        <v>2640</v>
      </c>
      <c r="E32" s="6"/>
      <c r="F32"/>
    </row>
    <row r="33" spans="1:6" ht="25" customHeight="1" x14ac:dyDescent="0.35">
      <c r="A33" s="5" t="s">
        <v>21</v>
      </c>
      <c r="B33" s="6">
        <v>4439</v>
      </c>
      <c r="C33" s="6">
        <v>1736</v>
      </c>
      <c r="D33" s="6">
        <v>274</v>
      </c>
      <c r="E33" s="6"/>
      <c r="F33"/>
    </row>
    <row r="34" spans="1:6" ht="25" customHeight="1" x14ac:dyDescent="0.35">
      <c r="A34" s="5" t="s">
        <v>68</v>
      </c>
      <c r="B34" s="6">
        <v>5520</v>
      </c>
      <c r="C34" s="6"/>
      <c r="D34" s="6">
        <v>1618</v>
      </c>
      <c r="E34" s="6"/>
      <c r="F34"/>
    </row>
    <row r="35" spans="1:6" ht="25" customHeight="1" x14ac:dyDescent="0.35">
      <c r="A35" s="5" t="s">
        <v>270</v>
      </c>
      <c r="B35" s="6">
        <v>355</v>
      </c>
      <c r="C35" s="6"/>
      <c r="D35" s="6"/>
      <c r="E35" s="6"/>
      <c r="F35"/>
    </row>
    <row r="36" spans="1:6" ht="25" customHeight="1" x14ac:dyDescent="0.35">
      <c r="A36"/>
      <c r="B36"/>
      <c r="C36"/>
      <c r="D36"/>
      <c r="E36"/>
      <c r="F36"/>
    </row>
    <row r="37" spans="1:6" ht="25" customHeight="1" x14ac:dyDescent="0.35">
      <c r="A37"/>
      <c r="B37"/>
      <c r="C37"/>
      <c r="D37"/>
      <c r="E37"/>
      <c r="F37"/>
    </row>
    <row r="38" spans="1:6" ht="25" customHeight="1" x14ac:dyDescent="0.35">
      <c r="A38"/>
      <c r="B38"/>
      <c r="C38"/>
      <c r="D38"/>
      <c r="E38"/>
      <c r="F38"/>
    </row>
    <row r="39" spans="1:6" ht="25" customHeight="1" x14ac:dyDescent="0.35">
      <c r="A39"/>
      <c r="B39"/>
      <c r="C39"/>
      <c r="D39"/>
      <c r="E39"/>
      <c r="F39"/>
    </row>
    <row r="40" spans="1:6" ht="25" customHeight="1" x14ac:dyDescent="0.35">
      <c r="A40"/>
      <c r="B40"/>
      <c r="C40"/>
      <c r="D40"/>
      <c r="E40"/>
    </row>
  </sheetData>
  <mergeCells count="9">
    <mergeCell ref="G4:H4"/>
    <mergeCell ref="G5:H6"/>
    <mergeCell ref="A1:J2"/>
    <mergeCell ref="A4:B4"/>
    <mergeCell ref="A5:B6"/>
    <mergeCell ref="C4:D4"/>
    <mergeCell ref="C5:D6"/>
    <mergeCell ref="E4:F4"/>
    <mergeCell ref="E5:F6"/>
  </mergeCells>
  <phoneticPr fontId="27" type="noConversion"/>
  <conditionalFormatting pivot="1" sqref="B21:E35">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Clean Data</vt:lpstr>
      <vt:lpstr>Data_Profiling</vt:lpstr>
      <vt:lpstr>EDA - Univariate</vt:lpstr>
      <vt:lpstr>EDA-Bivariate</vt:lpstr>
      <vt:lpstr>EDA-Multivariate</vt:lpstr>
      <vt:lpstr>Feature Engineering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Pulkit</dc:creator>
  <cp:lastModifiedBy>Pulkit Sharma</cp:lastModifiedBy>
  <dcterms:created xsi:type="dcterms:W3CDTF">2026-07-14T12:03:10Z</dcterms:created>
  <dcterms:modified xsi:type="dcterms:W3CDTF">2026-07-20T07:11:46Z</dcterms:modified>
</cp:coreProperties>
</file>